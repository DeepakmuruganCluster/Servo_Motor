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" sheetId="1" r:id="rId4"/>
    <sheet state="visible" name="calc" sheetId="2" r:id="rId5"/>
    <sheet state="visible" name="Checklist" sheetId="3" r:id="rId6"/>
    <sheet state="hidden" name="Readings" sheetId="4" r:id="rId7"/>
    <sheet state="visible" name="User input" sheetId="5" r:id="rId8"/>
    <sheet state="hidden" name="Revisions" sheetId="6" r:id="rId9"/>
  </sheets>
  <definedNames/>
  <calcPr/>
  <extLst>
    <ext uri="GoogleSheetsCustomDataVersion2">
      <go:sheetsCustomData xmlns:go="http://customooxmlschemas.google.com/" r:id="rId10" roundtripDataChecksum="xtW54zsXXG6utRbLQaPYZeJ035hwqHF3WxheSZCem/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2">
      <text>
        <t xml:space="preserve">======
ID#AAAB3CsQ4HU
Author    (2026-04-06 07:28:09)
progressive</t>
      </text>
    </comment>
    <comment authorId="0" ref="E240">
      <text>
        <t xml:space="preserve">======
ID#AAAB3CsQ4HY
Author    (2026-04-06 07:28:09)
Only servo lock torque here</t>
      </text>
    </comment>
    <comment authorId="0" ref="E238">
      <text>
        <t xml:space="preserve">======
ID#AAAB3CsQ4HM
Author    (2026-04-06 07:28:09)
Torque while deceleration will be slightly higher than braking torque</t>
      </text>
    </comment>
    <comment authorId="0" ref="C13">
      <text>
        <t xml:space="preserve">======
ID#AAAB3CsQ4HE
Author    (2026-04-06 07:28:09)
Spring force</t>
      </text>
    </comment>
    <comment authorId="0" ref="C73">
      <text>
        <t xml:space="preserve">======
ID#AAAB3CsQ4HI
Author    (2026-04-06 07:28:09)
above 10000, outside graph</t>
      </text>
    </comment>
  </commentList>
  <extLst>
    <ext uri="GoogleSheetsCustomDataVersion2">
      <go:sheetsCustomData xmlns:go="http://customooxmlschemas.google.com/" r:id="rId1" roundtripDataSignature="AMtx7mi5Ux7N68v6/eymcBUrL8u+AmXG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ID#AAAB3CsQ4HQ
Author    (2026-04-06 07:28:09)
15 to 20% is acceptable</t>
      </text>
    </comment>
  </commentList>
  <extLst>
    <ext uri="GoogleSheetsCustomDataVersion2">
      <go:sheetsCustomData xmlns:go="http://customooxmlschemas.google.com/" r:id="rId1" roundtripDataSignature="AMtx7mi7K4ZK3BVRnyr4TyaPpGNHdDqLBg=="/>
    </ext>
  </extLst>
</comments>
</file>

<file path=xl/sharedStrings.xml><?xml version="1.0" encoding="utf-8"?>
<sst xmlns="http://schemas.openxmlformats.org/spreadsheetml/2006/main" count="579" uniqueCount="339">
  <si>
    <t>Vertical Ball screw calculation - OP90</t>
  </si>
  <si>
    <t>Data Inputs</t>
  </si>
  <si>
    <t>Application requirement</t>
  </si>
  <si>
    <t>No of shifts per day</t>
  </si>
  <si>
    <t>shifts</t>
  </si>
  <si>
    <t>Fixed accross project</t>
  </si>
  <si>
    <t>Working hours per shift</t>
  </si>
  <si>
    <t>Hrs</t>
  </si>
  <si>
    <t>Working hours per day</t>
  </si>
  <si>
    <t>hrs</t>
  </si>
  <si>
    <t>Working days per Week</t>
  </si>
  <si>
    <t>days</t>
  </si>
  <si>
    <t>Total cycle time of machine</t>
  </si>
  <si>
    <t>sec</t>
  </si>
  <si>
    <t>Total operating time per cycle</t>
  </si>
  <si>
    <t>Sum of all operating time</t>
  </si>
  <si>
    <t>Expected service life of Machine</t>
  </si>
  <si>
    <t>Yrs</t>
  </si>
  <si>
    <t>Movement Stroke required</t>
  </si>
  <si>
    <t>mm</t>
  </si>
  <si>
    <t>For first stroke and continuous for others</t>
  </si>
  <si>
    <t>Cycle time available for single movement</t>
  </si>
  <si>
    <t>Break this into multiple movements</t>
  </si>
  <si>
    <t>External Force on the moving mass</t>
  </si>
  <si>
    <t>N</t>
  </si>
  <si>
    <t>Moving mass</t>
  </si>
  <si>
    <t>kg</t>
  </si>
  <si>
    <t>Tilt angle of the setup</t>
  </si>
  <si>
    <t>deg</t>
  </si>
  <si>
    <t>To be later</t>
  </si>
  <si>
    <t>Acceleration  time %</t>
  </si>
  <si>
    <t xml:space="preserve">50% of one single operating time </t>
  </si>
  <si>
    <t>Safety factor %</t>
  </si>
  <si>
    <t>Movement accuracy required (+/-)</t>
  </si>
  <si>
    <t>micron</t>
  </si>
  <si>
    <t>Ball screw Details</t>
  </si>
  <si>
    <t>Selected Ball screw model</t>
  </si>
  <si>
    <t>Festo - ESBF-BS-40-100-5P / 8022585</t>
  </si>
  <si>
    <t>Ball screw Friction Torque @ application speed + Ball screw no load torque</t>
  </si>
  <si>
    <t>Nm</t>
  </si>
  <si>
    <t>@ 150 mm/sec</t>
  </si>
  <si>
    <t>Ball screw pitch</t>
  </si>
  <si>
    <t>Ball screw dia</t>
  </si>
  <si>
    <t>Parallel Kit Details</t>
  </si>
  <si>
    <t>Selected Parallel Kit Model</t>
  </si>
  <si>
    <t xml:space="preserve">Festo - EAMM-U-60-D40-55A-91 / 1210438 </t>
  </si>
  <si>
    <t>Gear Ratio</t>
  </si>
  <si>
    <t>ratio</t>
  </si>
  <si>
    <t>No Load Driving Torque</t>
  </si>
  <si>
    <t>Mass Momment of Inertia</t>
  </si>
  <si>
    <t>Kgmm2</t>
  </si>
  <si>
    <t>Max. Transfereable torque</t>
  </si>
  <si>
    <t>Max. Rotational Speed</t>
  </si>
  <si>
    <t>rpm</t>
  </si>
  <si>
    <t>Guide Details</t>
  </si>
  <si>
    <t>Selected Guide Model</t>
  </si>
  <si>
    <t xml:space="preserve">Festo - EAGF-V2-KF-40-100 / 2782939 </t>
  </si>
  <si>
    <t>Displacement Force required</t>
  </si>
  <si>
    <t>Moving Mass</t>
  </si>
  <si>
    <t>Kg</t>
  </si>
  <si>
    <t>Max Withstand Force</t>
  </si>
  <si>
    <t>Service Life for 100% loading</t>
  </si>
  <si>
    <t>Km</t>
  </si>
  <si>
    <t>Torque Required at ball screw shaft</t>
  </si>
  <si>
    <t>Speed Required at ball screw shaft</t>
  </si>
  <si>
    <t>Linear Speed of the ball screw shaft</t>
  </si>
  <si>
    <t>mm/sec</t>
  </si>
  <si>
    <t>Gear Box 
Details</t>
  </si>
  <si>
    <t>Selected Gear ratio</t>
  </si>
  <si>
    <t>Selected Gear Box Model</t>
  </si>
  <si>
    <t>Not required here</t>
  </si>
  <si>
    <t>Gearbox  - Inertia</t>
  </si>
  <si>
    <t>Kg-m2</t>
  </si>
  <si>
    <t>GB- Efficiency</t>
  </si>
  <si>
    <t>GB- No load running torque</t>
  </si>
  <si>
    <t>GB-Backlash</t>
  </si>
  <si>
    <t>arcmin</t>
  </si>
  <si>
    <t>Torque Required at Motor shaft</t>
  </si>
  <si>
    <t>Speed Required at Motor shaft</t>
  </si>
  <si>
    <t>Servo Motor
 Details</t>
  </si>
  <si>
    <t>Selected Motor model</t>
  </si>
  <si>
    <t>SIEMENS 1FL6042 -1AF61-0LG1</t>
  </si>
  <si>
    <t>Rated RPM of selected Motor</t>
  </si>
  <si>
    <t>SM - Rated torque</t>
  </si>
  <si>
    <t>SM - Peak Torque</t>
  </si>
  <si>
    <t>SM - Rotor inertia</t>
  </si>
  <si>
    <t>SM - Permitted Inertia Ratio</t>
  </si>
  <si>
    <t>SM - Mechanical brake capacity</t>
  </si>
  <si>
    <t>SM - Encoder reolution</t>
  </si>
  <si>
    <t>ppr</t>
  </si>
  <si>
    <t xml:space="preserve">Additional details of Ball screw </t>
  </si>
  <si>
    <t>Ball screw rod length</t>
  </si>
  <si>
    <t>Ball screw efficiency</t>
  </si>
  <si>
    <t>since Friction torque is considered already</t>
  </si>
  <si>
    <t>Ball screw  - permitted axial force max @ specified rod length</t>
  </si>
  <si>
    <t>@ 124 mm</t>
  </si>
  <si>
    <t>Ball screw  - permitted axial force max @ application feed speed</t>
  </si>
  <si>
    <t xml:space="preserve">Ball screw  - permitted radial force max </t>
  </si>
  <si>
    <t>Ball screw  - Permitted driving torque max</t>
  </si>
  <si>
    <t>Ball screw  - Permitted velocity @ specified stroke length</t>
  </si>
  <si>
    <t>@ 100 mm</t>
  </si>
  <si>
    <t>Ball screw  - Permitted acceleration max</t>
  </si>
  <si>
    <t>m/sec2</t>
  </si>
  <si>
    <t>Ball screw - Repetition accuracy (+/-)</t>
  </si>
  <si>
    <t>Ball screw - Moment of inertia</t>
  </si>
  <si>
    <t>Ball screw  - Moving mass (excluding spindle)</t>
  </si>
  <si>
    <t>Ball screw  - Duty cycle</t>
  </si>
  <si>
    <t>Ball screw service life @ application axial force</t>
  </si>
  <si>
    <t>km</t>
  </si>
  <si>
    <t>@200 N</t>
  </si>
  <si>
    <t xml:space="preserve">Additional details of Gear Box </t>
  </si>
  <si>
    <t>GB - Rated Input Speed</t>
  </si>
  <si>
    <t>GB - Max Input Speed</t>
  </si>
  <si>
    <t>GB - Rated Output Torque</t>
  </si>
  <si>
    <t>GB - Max Output Torque</t>
  </si>
  <si>
    <t>GB - Permitted Radial Force</t>
  </si>
  <si>
    <t>GB - Permitted Axial Force</t>
  </si>
  <si>
    <t>GB - Service life</t>
  </si>
  <si>
    <t>Additional Details of Servo Motor</t>
  </si>
  <si>
    <t>Maximum RPM of selected Motor</t>
  </si>
  <si>
    <t>SM - Service life (bearing)</t>
  </si>
  <si>
    <t>hr</t>
  </si>
  <si>
    <t>SM - Mechanical brake service life</t>
  </si>
  <si>
    <t>times</t>
  </si>
  <si>
    <t>No Brake here</t>
  </si>
  <si>
    <t>Speed</t>
  </si>
  <si>
    <t>V</t>
  </si>
  <si>
    <t>S</t>
  </si>
  <si>
    <t>Linear speed requirement calculation</t>
  </si>
  <si>
    <t>displacement</t>
  </si>
  <si>
    <t>Total time available</t>
  </si>
  <si>
    <t>Dwell time ( for Buffer purpose)</t>
  </si>
  <si>
    <t>time available for movement</t>
  </si>
  <si>
    <t>required velocity (Top speed)</t>
  </si>
  <si>
    <t>Acc/dec percentage</t>
  </si>
  <si>
    <t>Acceleration time</t>
  </si>
  <si>
    <t>Required accelaration</t>
  </si>
  <si>
    <t>mm/sec2</t>
  </si>
  <si>
    <t>Displacement in acceleration phase</t>
  </si>
  <si>
    <t>Displacement in Top speed phase</t>
  </si>
  <si>
    <t>Displacement in Decceleration phase</t>
  </si>
  <si>
    <t xml:space="preserve">Displacement in Dwell time </t>
  </si>
  <si>
    <t>Total distance travelled</t>
  </si>
  <si>
    <t>No Load driving torque of spindle</t>
  </si>
  <si>
    <t>RPM required</t>
  </si>
  <si>
    <t>rps</t>
  </si>
  <si>
    <t>selected Servo motor Rpm</t>
  </si>
  <si>
    <t>1FL6042-2AF21-1AB1</t>
  </si>
  <si>
    <t>Gear Ratio required</t>
  </si>
  <si>
    <t>Selected gear ratio</t>
  </si>
  <si>
    <t>Torque</t>
  </si>
  <si>
    <t xml:space="preserve">External Force, Fa </t>
  </si>
  <si>
    <t>Mass of load, m</t>
  </si>
  <si>
    <r>
      <rPr>
        <rFont val="Calibri"/>
        <color theme="1"/>
      </rPr>
      <t xml:space="preserve">Tilt angle, </t>
    </r>
    <r>
      <rPr>
        <rFont val="Calibri"/>
        <color rgb="FF000000"/>
        <sz val="11.0"/>
      </rPr>
      <t>Ɵ</t>
    </r>
  </si>
  <si>
    <r>
      <rPr>
        <rFont val="Calibri"/>
        <color theme="1"/>
      </rPr>
      <t xml:space="preserve">Tilt angle, </t>
    </r>
    <r>
      <rPr>
        <rFont val="Calibri"/>
        <color rgb="FF000000"/>
        <sz val="11.0"/>
      </rPr>
      <t>Ɵ</t>
    </r>
  </si>
  <si>
    <t>rad</t>
  </si>
  <si>
    <t>Friction Coefficient of the sliding surface, µ</t>
  </si>
  <si>
    <t>Force of Moving direction, F</t>
  </si>
  <si>
    <t>Ball screw lead, Pb</t>
  </si>
  <si>
    <t>m</t>
  </si>
  <si>
    <r>
      <rPr>
        <rFont val="Calibri"/>
        <color theme="1"/>
      </rPr>
      <t xml:space="preserve">Efficiency of ball screw, </t>
    </r>
    <r>
      <rPr>
        <rFont val="Calibri"/>
        <color rgb="FF000000"/>
        <sz val="11.0"/>
      </rPr>
      <t>ɳ</t>
    </r>
  </si>
  <si>
    <t>Friction coeff of preload nut,  µ0</t>
  </si>
  <si>
    <r>
      <rPr>
        <rFont val="Calibri"/>
        <color theme="1"/>
      </rPr>
      <t>Preload, F</t>
    </r>
    <r>
      <rPr>
        <rFont val="Calibri"/>
        <color rgb="FF000000"/>
        <sz val="11.0"/>
        <vertAlign val="subscript"/>
      </rPr>
      <t>0</t>
    </r>
  </si>
  <si>
    <t>Gear ratio of the system, i</t>
  </si>
  <si>
    <t>Load Torque for driving Mass</t>
  </si>
  <si>
    <t>Load Torque for driving Ball screw (calc)</t>
  </si>
  <si>
    <t>Load Torque for driving Ball screw (datasheet)</t>
  </si>
  <si>
    <t>No load running Torque of Parallel kit</t>
  </si>
  <si>
    <r>
      <rPr>
        <rFont val="Calibri"/>
        <b/>
        <i/>
        <color theme="1"/>
        <sz val="11.0"/>
      </rPr>
      <t>Load torque, T</t>
    </r>
    <r>
      <rPr>
        <rFont val="Calibri"/>
        <b/>
        <i/>
        <color rgb="FF000000"/>
        <sz val="11.0"/>
        <vertAlign val="subscript"/>
      </rPr>
      <t>L</t>
    </r>
  </si>
  <si>
    <t>Acceleration Torque</t>
  </si>
  <si>
    <t>Inertia of moving mass</t>
  </si>
  <si>
    <t>Total Mass, M</t>
  </si>
  <si>
    <t>Gear Ratio, R</t>
  </si>
  <si>
    <t>Kgm2</t>
  </si>
  <si>
    <t>Inertia of Parallel kit</t>
  </si>
  <si>
    <t>Inertia of Ball screw</t>
  </si>
  <si>
    <t>Density</t>
  </si>
  <si>
    <t>Kg/m3</t>
  </si>
  <si>
    <t>Ball screw Length, Lb</t>
  </si>
  <si>
    <t>Ball screw Dia, Db</t>
  </si>
  <si>
    <t>Ball screw inertia (calc)</t>
  </si>
  <si>
    <t>Ball screw inertia (Datasheet)</t>
  </si>
  <si>
    <t>Inertia of Moving mass</t>
  </si>
  <si>
    <t>Gear Box inertia</t>
  </si>
  <si>
    <t>Kg m2</t>
  </si>
  <si>
    <t>Total reflected inertia at gearbox shaft</t>
  </si>
  <si>
    <t>Gear Box ratio</t>
  </si>
  <si>
    <t>Motor Rotor inertia</t>
  </si>
  <si>
    <t>Reflected inertia @ motor shaft</t>
  </si>
  <si>
    <t>Speed @ spindle</t>
  </si>
  <si>
    <t>Acceleration torque, Ta</t>
  </si>
  <si>
    <t>Safety factor</t>
  </si>
  <si>
    <t>Total Torque @ ballscrew shaft, T</t>
  </si>
  <si>
    <t>Gear Box efficiency</t>
  </si>
  <si>
    <t>Total Torque required @ Motor shaft</t>
  </si>
  <si>
    <t>Selected Motor Torque</t>
  </si>
  <si>
    <t>Motor Loading %</t>
  </si>
  <si>
    <t>Mechanical Power Required</t>
  </si>
  <si>
    <t>Watt</t>
  </si>
  <si>
    <t>Direction of rotation</t>
  </si>
  <si>
    <t>cw/ccw</t>
  </si>
  <si>
    <t>Movement accuracy calc</t>
  </si>
  <si>
    <t>Ball screw repetition accuracy (+/-)</t>
  </si>
  <si>
    <t>GearBox backlash</t>
  </si>
  <si>
    <t>arc min</t>
  </si>
  <si>
    <t>60 arcmin is 1 deg</t>
  </si>
  <si>
    <t>GearBox accuracy (+/-)</t>
  </si>
  <si>
    <t>Motor encoder resolution</t>
  </si>
  <si>
    <t>Motor accuracy</t>
  </si>
  <si>
    <t>Motor accuracy (+/-)</t>
  </si>
  <si>
    <t>Total Accuracy of the system (+/-)</t>
  </si>
  <si>
    <t>Required Movement accuracy (+/-)</t>
  </si>
  <si>
    <t>Utilization</t>
  </si>
  <si>
    <t>Result</t>
  </si>
  <si>
    <t>Radial Load Check</t>
  </si>
  <si>
    <t xml:space="preserve">Not applicable </t>
  </si>
  <si>
    <t>Motor RPM Check</t>
  </si>
  <si>
    <t>Motor rated RPM</t>
  </si>
  <si>
    <t>Required RPM at motor shaft</t>
  </si>
  <si>
    <t>Motor Torque Check</t>
  </si>
  <si>
    <t>Motor rated Torque</t>
  </si>
  <si>
    <t>Total Required Torque at Motor shaft</t>
  </si>
  <si>
    <t>Motor - Peak load Duty cycle check</t>
  </si>
  <si>
    <t>Duty Cycle</t>
  </si>
  <si>
    <t>Actual Torque</t>
  </si>
  <si>
    <t>Motor Rated Torque</t>
  </si>
  <si>
    <t>overload Torque</t>
  </si>
  <si>
    <t>Overlaod Area</t>
  </si>
  <si>
    <t>Rated load Area</t>
  </si>
  <si>
    <t xml:space="preserve">Door movement UP - Acceleration </t>
  </si>
  <si>
    <t>Door movement UP - Top speed</t>
  </si>
  <si>
    <t>Door movement UP - Deceleration</t>
  </si>
  <si>
    <t>Door movement UP - Idle</t>
  </si>
  <si>
    <t>Total</t>
  </si>
  <si>
    <t>Ratio (less than 15% to 20%?)</t>
  </si>
  <si>
    <t>Motor Peak Torque</t>
  </si>
  <si>
    <t>Application Peak torque</t>
  </si>
  <si>
    <t>Motor Inertia Ratio check</t>
  </si>
  <si>
    <t>Calculated Inertia ratio</t>
  </si>
  <si>
    <t>Permitted Inertia Ratio for selected motor</t>
  </si>
  <si>
    <t>Motor Mechanical Braking Torque Check</t>
  </si>
  <si>
    <t>Gravitational force, N</t>
  </si>
  <si>
    <t>Ball screw pitch, p</t>
  </si>
  <si>
    <t>Required Brake torque @ GB shaft</t>
  </si>
  <si>
    <r>
      <rPr>
        <rFont val="Calibri"/>
        <color theme="1"/>
      </rPr>
      <t>Required Brake torque @ Motor shaft, T</t>
    </r>
    <r>
      <rPr>
        <rFont val="Calibri"/>
        <color rgb="FF000000"/>
        <sz val="11.0"/>
        <vertAlign val="subscript"/>
      </rPr>
      <t>b</t>
    </r>
  </si>
  <si>
    <t>Mech Braking capacity of selected Motor</t>
  </si>
  <si>
    <t>Motor Servolock Braking Torque Check</t>
  </si>
  <si>
    <r>
      <rPr>
        <rFont val="Calibri"/>
        <color theme="1"/>
      </rPr>
      <t>Required Brake torque @ Motor shaft, T</t>
    </r>
    <r>
      <rPr>
        <rFont val="Calibri"/>
        <color rgb="FF000000"/>
        <sz val="11.0"/>
        <vertAlign val="subscript"/>
      </rPr>
      <t>b</t>
    </r>
  </si>
  <si>
    <t>Servo Lock Braking capacity of Motor</t>
  </si>
  <si>
    <t>Motor Service Life calc</t>
  </si>
  <si>
    <t>Total working days in a year</t>
  </si>
  <si>
    <t>Total working hours in a year</t>
  </si>
  <si>
    <t>Total cycle time</t>
  </si>
  <si>
    <t>Motor operatiing time per cycle</t>
  </si>
  <si>
    <t>Total operating time per day</t>
  </si>
  <si>
    <t>Motor operating time per year</t>
  </si>
  <si>
    <t>Motor - Service life (bearing)</t>
  </si>
  <si>
    <t>Motor-Mechanical Brake Service Life calc</t>
  </si>
  <si>
    <t>No of Estops expected per week</t>
  </si>
  <si>
    <t>No of Estops expected per year</t>
  </si>
  <si>
    <t>Gear Box Rpm Check</t>
  </si>
  <si>
    <t>Rated input RPM of GB</t>
  </si>
  <si>
    <t>calculated Input rpm for the GB</t>
  </si>
  <si>
    <t>Gear Box Torque Check</t>
  </si>
  <si>
    <t>Rated Output torque of GB</t>
  </si>
  <si>
    <t>Calculated Output Torque at GB shaft</t>
  </si>
  <si>
    <t>Gear Box Service Life calc</t>
  </si>
  <si>
    <t>GB operating time per year</t>
  </si>
  <si>
    <t xml:space="preserve">GB - Service life </t>
  </si>
  <si>
    <t>Ball screw max speed Check</t>
  </si>
  <si>
    <t>Ball screw  - Permitted velocity @ specified rod length</t>
  </si>
  <si>
    <t>calculated speed at ball screw shaft</t>
  </si>
  <si>
    <t>Ball screw max Acceleration Check</t>
  </si>
  <si>
    <t>calculated acceleration at ball screw shaft</t>
  </si>
  <si>
    <t>Ball screw max Torque Check</t>
  </si>
  <si>
    <t>calculated driving torque at ball screw shaft</t>
  </si>
  <si>
    <t>Ball screw Axial Load Check</t>
  </si>
  <si>
    <t>Total mass acting axialy</t>
  </si>
  <si>
    <t>Axial force on Ball screw</t>
  </si>
  <si>
    <t>Max acceptable Axial Force on Ball screw</t>
  </si>
  <si>
    <t>Ball screw service life Check</t>
  </si>
  <si>
    <t>Working days per year</t>
  </si>
  <si>
    <t xml:space="preserve">Working hours per day </t>
  </si>
  <si>
    <t>Cycle time</t>
  </si>
  <si>
    <t>No of cycles per day</t>
  </si>
  <si>
    <t>cycles</t>
  </si>
  <si>
    <t>Distance travelled</t>
  </si>
  <si>
    <t>No of movements per cycle</t>
  </si>
  <si>
    <t>nos</t>
  </si>
  <si>
    <t>Distance travelled per cycle</t>
  </si>
  <si>
    <t>Total distance travelled per day</t>
  </si>
  <si>
    <t>mtrs</t>
  </si>
  <si>
    <t>Total distance travelled per year</t>
  </si>
  <si>
    <t>Calculated service life of Ball screw</t>
  </si>
  <si>
    <t>selected</t>
  </si>
  <si>
    <t>Required</t>
  </si>
  <si>
    <t>Parameters</t>
  </si>
  <si>
    <t>Capacity</t>
  </si>
  <si>
    <t>Actual</t>
  </si>
  <si>
    <t>Remarks</t>
  </si>
  <si>
    <t>Motor Parameters</t>
  </si>
  <si>
    <t>Motor Rated Speed, rpm</t>
  </si>
  <si>
    <t>Motor Rated Torque, Nm</t>
  </si>
  <si>
    <t>Motor Duty cycle for Peak torque operation, %</t>
  </si>
  <si>
    <t>Motor Mechanical Braking - power off, Nm</t>
  </si>
  <si>
    <t>Motor Servo Lock Braking - regular operation, Nm</t>
  </si>
  <si>
    <t>Motor Inertia Ratio</t>
  </si>
  <si>
    <t>Motor service life, yrs</t>
  </si>
  <si>
    <t>Bearing life of motor is limited</t>
  </si>
  <si>
    <t>Motor Brake service Life, yrs</t>
  </si>
  <si>
    <t>Gearbox</t>
  </si>
  <si>
    <t>GearBox Input speed, rpm</t>
  </si>
  <si>
    <t>GearBox Output Torque, Nm</t>
  </si>
  <si>
    <t>GearBox service life, yrs</t>
  </si>
  <si>
    <t>Ball screw</t>
  </si>
  <si>
    <t>Ball screw max speed, rpm</t>
  </si>
  <si>
    <t>Wish list</t>
  </si>
  <si>
    <t>Ball screw max acceleration, mm/sec2</t>
  </si>
  <si>
    <t>Ball screw max torque</t>
  </si>
  <si>
    <t>Axial Load on Ball screw, N</t>
  </si>
  <si>
    <t>Service life of the Ball screw, Yrs</t>
  </si>
  <si>
    <t>Movement accuracy of the system, (+/-) micron</t>
  </si>
  <si>
    <t>Overall System service life, yrs</t>
  </si>
  <si>
    <t>Output side</t>
  </si>
  <si>
    <t>RPM</t>
  </si>
  <si>
    <t>Time</t>
  </si>
  <si>
    <t>Input side</t>
  </si>
  <si>
    <t>Stn no</t>
  </si>
  <si>
    <t>Appl</t>
  </si>
  <si>
    <t>Acceleration %</t>
  </si>
  <si>
    <t>selected servo motor</t>
  </si>
  <si>
    <t>OP10</t>
  </si>
  <si>
    <t>App-1</t>
  </si>
  <si>
    <t>App-2</t>
  </si>
  <si>
    <t>OP20</t>
  </si>
  <si>
    <t>Updates required</t>
  </si>
  <si>
    <t xml:space="preserve">Servo lock  - overload calculation with duty cycle pending </t>
  </si>
  <si>
    <t>Peak torque check for GB</t>
  </si>
  <si>
    <t>Gearbox - duty cycle check include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</si>
</sst>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0.000000"/>
    <numFmt numFmtId="166" formatCode="_(* #,##0.00_);_(* \(#,##0.00\);_(* &quot;-&quot;??_);_(@_)"/>
    <numFmt numFmtId="167" formatCode="_(* #,##0_);_(* \(#,##0\);_(* &quot;-&quot;??_);_(@_)"/>
    <numFmt numFmtId="168" formatCode="0.000"/>
    <numFmt numFmtId="169" formatCode="0.000E+00"/>
    <numFmt numFmtId="170" formatCode="0.00000000"/>
    <numFmt numFmtId="171" formatCode="0.00000"/>
  </numFmts>
  <fonts count="10">
    <font>
      <sz val="11.0"/>
      <color theme="1"/>
      <name val="Calibri"/>
      <scheme val="minor"/>
    </font>
    <font>
      <b/>
      <sz val="18.0"/>
      <color theme="1"/>
      <name val="Calibri"/>
    </font>
    <font/>
    <font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sz val="11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C4BD97"/>
        <bgColor rgb="FFC4BD97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shrinkToFit="0" textRotation="9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ill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readingOrder="0" shrinkToFit="0" vertical="bottom" wrapText="0"/>
    </xf>
    <xf borderId="6" fillId="0" fontId="2" numFmtId="0" xfId="0" applyBorder="1" applyFont="1"/>
    <xf borderId="5" fillId="4" fontId="5" numFmtId="0" xfId="0" applyAlignment="1" applyBorder="1" applyFill="1" applyFont="1">
      <alignment horizontal="center" shrinkToFit="0" vertical="center" wrapText="0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/>
    </xf>
    <xf borderId="5" fillId="4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1"/>
    </xf>
    <xf borderId="5" fillId="4" fontId="5" numFmtId="9" xfId="0" applyAlignment="1" applyBorder="1" applyFont="1" applyNumberForma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5" fillId="4" fontId="5" numFmtId="1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1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5" fillId="4" fontId="5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4" fillId="0" fontId="6" numFmtId="0" xfId="0" applyAlignment="1" applyBorder="1" applyFont="1">
      <alignment horizontal="center" shrinkToFit="0" textRotation="90" vertical="center" wrapText="1"/>
    </xf>
    <xf borderId="5" fillId="4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textRotation="90" vertical="center" wrapText="0"/>
    </xf>
    <xf borderId="5" fillId="4" fontId="5" numFmtId="2" xfId="0" applyAlignment="1" applyBorder="1" applyFont="1" applyNumberFormat="1">
      <alignment horizontal="center" shrinkToFit="0" vertical="center" wrapText="0"/>
    </xf>
    <xf borderId="5" fillId="5" fontId="5" numFmtId="0" xfId="0" applyAlignment="1" applyBorder="1" applyFill="1" applyFont="1">
      <alignment shrinkToFit="0" vertical="bottom" wrapText="0"/>
    </xf>
    <xf borderId="5" fillId="5" fontId="5" numFmtId="2" xfId="0" applyAlignment="1" applyBorder="1" applyFont="1" applyNumberForma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5" fillId="5" fontId="5" numFmtId="1" xfId="0" applyAlignment="1" applyBorder="1" applyFont="1" applyNumberFormat="1">
      <alignment horizontal="center" shrinkToFit="0" vertical="center" wrapText="0"/>
    </xf>
    <xf borderId="5" fillId="0" fontId="5" numFmtId="9" xfId="0" applyAlignment="1" applyBorder="1" applyFont="1" applyNumberFormat="1">
      <alignment horizontal="center" readingOrder="0" shrinkToFit="0" vertical="center" wrapText="0"/>
    </xf>
    <xf borderId="5" fillId="5" fontId="5" numFmtId="2" xfId="0" applyAlignment="1" applyBorder="1" applyFont="1" applyNumberFormat="1">
      <alignment shrinkToFit="0" vertical="bottom" wrapText="0"/>
    </xf>
    <xf borderId="5" fillId="5" fontId="5" numFmtId="1" xfId="0" applyAlignment="1" applyBorder="1" applyFont="1" applyNumberFormat="1">
      <alignment shrinkToFit="0" vertical="bottom" wrapText="0"/>
    </xf>
    <xf borderId="5" fillId="4" fontId="5" numFmtId="37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shrinkToFit="0" textRotation="90" vertical="center" wrapText="0"/>
    </xf>
    <xf borderId="5" fillId="4" fontId="5" numFmtId="164" xfId="0" applyAlignment="1" applyBorder="1" applyFont="1" applyNumberFormat="1">
      <alignment horizontal="center" shrinkToFit="0" vertical="center" wrapText="0"/>
    </xf>
    <xf borderId="5" fillId="4" fontId="5" numFmtId="165" xfId="0" applyAlignment="1" applyBorder="1" applyFont="1" applyNumberFormat="1">
      <alignment horizontal="center" shrinkToFit="0" vertical="center" wrapText="0"/>
    </xf>
    <xf borderId="5" fillId="0" fontId="5" numFmtId="37" xfId="0" applyAlignment="1" applyBorder="1" applyFont="1" applyNumberFormat="1">
      <alignment horizontal="center" shrinkToFit="0" vertical="center" wrapText="0"/>
    </xf>
    <xf borderId="8" fillId="6" fontId="6" numFmtId="0" xfId="0" applyAlignment="1" applyBorder="1" applyFill="1" applyFont="1">
      <alignment shrinkToFit="0" vertical="bottom" wrapText="0"/>
    </xf>
    <xf borderId="8" fillId="6" fontId="5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shrinkToFit="0" vertical="bottom" wrapText="0"/>
    </xf>
    <xf borderId="5" fillId="0" fontId="5" numFmtId="2" xfId="0" applyAlignment="1" applyBorder="1" applyFont="1" applyNumberFormat="1">
      <alignment horizontal="center" shrinkToFit="0" vertical="center" wrapText="0"/>
    </xf>
    <xf borderId="5" fillId="0" fontId="5" numFmtId="1" xfId="0" applyAlignment="1" applyBorder="1" applyFont="1" applyNumberFormat="1">
      <alignment horizontal="center" shrinkToFit="0" vertical="center" wrapText="0"/>
    </xf>
    <xf borderId="5" fillId="0" fontId="5" numFmtId="166" xfId="0" applyAlignment="1" applyBorder="1" applyFont="1" applyNumberFormat="1">
      <alignment horizontal="center" shrinkToFit="0" vertical="center" wrapText="0"/>
    </xf>
    <xf borderId="5" fillId="3" fontId="5" numFmtId="167" xfId="0" applyAlignment="1" applyBorder="1" applyFont="1" applyNumberFormat="1">
      <alignment shrinkToFit="0" vertical="bottom" wrapText="0"/>
    </xf>
    <xf borderId="5" fillId="3" fontId="5" numFmtId="166" xfId="0" applyAlignment="1" applyBorder="1" applyFont="1" applyNumberFormat="1">
      <alignment shrinkToFit="0" vertical="bottom" wrapText="0"/>
    </xf>
    <xf borderId="5" fillId="0" fontId="5" numFmtId="166" xfId="0" applyAlignment="1" applyBorder="1" applyFont="1" applyNumberFormat="1">
      <alignment shrinkToFit="0" vertical="bottom" wrapText="0"/>
    </xf>
    <xf borderId="5" fillId="0" fontId="5" numFmtId="1" xfId="0" applyAlignment="1" applyBorder="1" applyFont="1" applyNumberFormat="1">
      <alignment shrinkToFit="0" vertical="bottom" wrapText="0"/>
    </xf>
    <xf borderId="5" fillId="3" fontId="5" numFmtId="9" xfId="0" applyAlignment="1" applyBorder="1" applyFont="1" applyNumberFormat="1">
      <alignment shrinkToFit="0" vertical="bottom" wrapText="0"/>
    </xf>
    <xf borderId="5" fillId="0" fontId="5" numFmtId="2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8" fillId="3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shrinkToFit="0" vertical="center" wrapText="0"/>
    </xf>
    <xf borderId="0" fillId="0" fontId="5" numFmtId="2" xfId="0" applyAlignment="1" applyFont="1" applyNumberFormat="1">
      <alignment horizontal="right" shrinkToFit="0" vertical="center" wrapText="0"/>
    </xf>
    <xf borderId="0" fillId="0" fontId="5" numFmtId="164" xfId="0" applyAlignment="1" applyFont="1" applyNumberFormat="1">
      <alignment horizontal="right" shrinkToFit="0" vertical="center" wrapText="0"/>
    </xf>
    <xf borderId="0" fillId="0" fontId="5" numFmtId="9" xfId="0" applyAlignment="1" applyFont="1" applyNumberFormat="1">
      <alignment horizontal="right" shrinkToFit="0" vertical="center" wrapText="0"/>
    </xf>
    <xf borderId="8" fillId="5" fontId="7" numFmtId="0" xfId="0" applyAlignment="1" applyBorder="1" applyFont="1">
      <alignment shrinkToFit="0" vertical="bottom" wrapText="0"/>
    </xf>
    <xf borderId="8" fillId="5" fontId="7" numFmtId="168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169" xfId="0" applyAlignment="1" applyFont="1" applyNumberFormat="1">
      <alignment shrinkToFit="0" vertical="bottom" wrapText="0"/>
    </xf>
    <xf borderId="0" fillId="0" fontId="5" numFmtId="170" xfId="0" applyAlignment="1" applyFont="1" applyNumberFormat="1">
      <alignment shrinkToFit="0" vertical="bottom" wrapText="0"/>
    </xf>
    <xf borderId="0" fillId="0" fontId="3" numFmtId="169" xfId="0" applyFont="1" applyNumberFormat="1"/>
    <xf borderId="8" fillId="5" fontId="7" numFmtId="2" xfId="0" applyAlignment="1" applyBorder="1" applyFont="1" applyNumberFormat="1">
      <alignment shrinkToFit="0" vertical="bottom" wrapText="0"/>
    </xf>
    <xf borderId="0" fillId="0" fontId="5" numFmtId="9" xfId="0" applyAlignment="1" applyFont="1" applyNumberFormat="1">
      <alignment shrinkToFit="0" vertical="bottom" wrapText="0"/>
    </xf>
    <xf borderId="8" fillId="7" fontId="6" numFmtId="0" xfId="0" applyAlignment="1" applyBorder="1" applyFill="1" applyFont="1">
      <alignment shrinkToFit="0" vertical="bottom" wrapText="0"/>
    </xf>
    <xf borderId="8" fillId="7" fontId="5" numFmtId="1" xfId="0" applyAlignment="1" applyBorder="1" applyFont="1" applyNumberFormat="1">
      <alignment horizontal="center" shrinkToFit="0" vertical="center" wrapText="0"/>
    </xf>
    <xf borderId="8" fillId="7" fontId="5" numFmtId="0" xfId="0" applyAlignment="1" applyBorder="1" applyFont="1">
      <alignment shrinkToFit="0" vertical="bottom" wrapText="0"/>
    </xf>
    <xf borderId="8" fillId="7" fontId="6" numFmtId="0" xfId="0" applyAlignment="1" applyBorder="1" applyFont="1">
      <alignment horizontal="center" shrinkToFit="0" vertical="center" wrapText="0"/>
    </xf>
    <xf borderId="0" fillId="0" fontId="5" numFmtId="171" xfId="0" applyAlignment="1" applyFont="1" applyNumberFormat="1">
      <alignment shrinkToFit="0" vertical="bottom" wrapText="0"/>
    </xf>
    <xf borderId="0" fillId="0" fontId="5" numFmtId="9" xfId="0" applyAlignment="1" applyFont="1" applyNumberFormat="1">
      <alignment horizontal="center" shrinkToFit="0" vertical="center" wrapText="0"/>
    </xf>
    <xf borderId="8" fillId="8" fontId="6" numFmtId="0" xfId="0" applyAlignment="1" applyBorder="1" applyFill="1" applyFont="1">
      <alignment horizontal="left" shrinkToFit="0" vertical="center" wrapText="1"/>
    </xf>
    <xf borderId="0" fillId="0" fontId="9" numFmtId="2" xfId="0" applyAlignment="1" applyFont="1" applyNumberFormat="1">
      <alignment horizontal="center" shrinkToFit="0" vertical="center" wrapText="0"/>
    </xf>
    <xf borderId="0" fillId="0" fontId="9" numFmtId="2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horizontal="center" shrinkToFit="0" vertical="center" wrapText="0"/>
    </xf>
    <xf borderId="8" fillId="7" fontId="5" numFmtId="164" xfId="0" applyAlignment="1" applyBorder="1" applyFont="1" applyNumberFormat="1">
      <alignment shrinkToFit="0" vertical="bottom" wrapText="0"/>
    </xf>
    <xf borderId="8" fillId="7" fontId="6" numFmtId="1" xfId="0" applyAlignment="1" applyBorder="1" applyFont="1" applyNumberFormat="1">
      <alignment horizontal="center" shrinkToFit="0" vertical="center" wrapText="0"/>
    </xf>
    <xf borderId="0" fillId="0" fontId="5" numFmtId="37" xfId="0" applyAlignment="1" applyFont="1" applyNumberFormat="1">
      <alignment horizontal="center" shrinkToFit="0" vertical="center" wrapText="0"/>
    </xf>
    <xf borderId="0" fillId="0" fontId="5" numFmtId="167" xfId="0" applyAlignment="1" applyFont="1" applyNumberForma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/>
    </xf>
    <xf borderId="5" fillId="0" fontId="6" numFmtId="0" xfId="0" applyAlignment="1" applyBorder="1" applyFont="1">
      <alignment horizontal="left" shrinkToFit="0" vertical="center" wrapText="1"/>
    </xf>
    <xf borderId="5" fillId="9" fontId="5" numFmtId="0" xfId="0" applyAlignment="1" applyBorder="1" applyFill="1" applyFont="1">
      <alignment horizontal="left" shrinkToFit="0" vertical="center" wrapText="1"/>
    </xf>
    <xf borderId="5" fillId="0" fontId="5" numFmtId="9" xfId="0" applyAlignment="1" applyBorder="1" applyFont="1" applyNumberFormat="1">
      <alignment horizontal="center" shrinkToFit="0" vertical="center" wrapText="0"/>
    </xf>
    <xf borderId="5" fillId="3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</cellXfs>
  <cellStyles count="1">
    <cellStyle xfId="0" name="Normal" builtinId="0"/>
  </cellStyles>
  <dxfs count="2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CC00"/>
          <bgColor rgb="FF99CC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Velocity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xVal>
            <c:numRef>
              <c:f>calc!$F$93:$F$97</c:f>
            </c:numRef>
          </c:xVal>
          <c:yVal>
            <c:numRef>
              <c:f>calc!$G$93:$G$97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185054"/>
        <c:axId val="557295732"/>
      </c:scatterChart>
      <c:valAx>
        <c:axId val="1969185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295732"/>
      </c:valAx>
      <c:valAx>
        <c:axId val="557295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185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Torque/sec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xVal>
            <c:numRef>
              <c:f>calc!$D$233:$D$240</c:f>
            </c:numRef>
          </c:xVal>
          <c:yVal>
            <c:numRef>
              <c:f>calc!$E$233:$E$240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calc!$D$233:$D$240</c:f>
            </c:numRef>
          </c:xVal>
          <c:yVal>
            <c:numRef>
              <c:f>calc!$F$233:$F$240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201715"/>
        <c:axId val="63403413"/>
      </c:scatterChart>
      <c:valAx>
        <c:axId val="474201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03413"/>
      </c:valAx>
      <c:valAx>
        <c:axId val="63403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201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152400</xdr:rowOff>
    </xdr:from>
    <xdr:ext cx="9744075" cy="812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93</xdr:row>
      <xdr:rowOff>19050</xdr:rowOff>
    </xdr:from>
    <xdr:ext cx="4686300" cy="3467100"/>
    <xdr:graphicFrame>
      <xdr:nvGraphicFramePr>
        <xdr:cNvPr descr="Chart 0" id="4605972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419100</xdr:colOff>
      <xdr:row>231</xdr:row>
      <xdr:rowOff>0</xdr:rowOff>
    </xdr:from>
    <xdr:ext cx="4800600" cy="3438525"/>
    <xdr:graphicFrame>
      <xdr:nvGraphicFramePr>
        <xdr:cNvPr descr="Chart 1" id="7275398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333375</xdr:colOff>
      <xdr:row>120</xdr:row>
      <xdr:rowOff>66675</xdr:rowOff>
    </xdr:from>
    <xdr:ext cx="6696075" cy="31908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143</xdr:row>
      <xdr:rowOff>200025</xdr:rowOff>
    </xdr:from>
    <xdr:ext cx="3571875" cy="1695450"/>
    <xdr:pic>
      <xdr:nvPicPr>
        <xdr:cNvPr descr="Inert.png"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153</xdr:row>
      <xdr:rowOff>0</xdr:rowOff>
    </xdr:from>
    <xdr:ext cx="4781550" cy="2228850"/>
    <xdr:pic>
      <xdr:nvPicPr>
        <xdr:cNvPr descr="Inert2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175</xdr:row>
      <xdr:rowOff>0</xdr:rowOff>
    </xdr:from>
    <xdr:ext cx="2133600" cy="14763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0"/>
    <col customWidth="1" min="2" max="2" width="39.14"/>
    <col customWidth="1" min="3" max="3" width="11.29"/>
    <col customWidth="1" min="4" max="4" width="8.0"/>
    <col customWidth="1" min="5" max="5" width="37.0"/>
    <col customWidth="1" min="6" max="6" width="10.0"/>
    <col customWidth="1" min="7" max="7" width="9.57"/>
    <col customWidth="1" min="8" max="10" width="8.0"/>
    <col customWidth="1" min="11" max="11" width="22.0"/>
    <col customWidth="1" min="12" max="26" width="8.0"/>
  </cols>
  <sheetData>
    <row r="1" ht="23.25" customHeight="1">
      <c r="A1" s="1" t="s">
        <v>0</v>
      </c>
      <c r="B1" s="2"/>
      <c r="C1" s="2"/>
      <c r="D1" s="2"/>
      <c r="E1" s="3"/>
    </row>
    <row r="3">
      <c r="A3" s="4" t="s">
        <v>1</v>
      </c>
    </row>
    <row r="4">
      <c r="A4" s="5" t="s">
        <v>2</v>
      </c>
      <c r="B4" s="6" t="s">
        <v>3</v>
      </c>
      <c r="C4" s="7">
        <v>3.0</v>
      </c>
      <c r="D4" s="8" t="s">
        <v>4</v>
      </c>
      <c r="E4" s="9" t="s">
        <v>5</v>
      </c>
    </row>
    <row r="5">
      <c r="A5" s="10"/>
      <c r="B5" s="6" t="s">
        <v>6</v>
      </c>
      <c r="C5" s="7">
        <v>7.0</v>
      </c>
      <c r="D5" s="8" t="s">
        <v>7</v>
      </c>
      <c r="E5" s="9" t="s">
        <v>5</v>
      </c>
    </row>
    <row r="6">
      <c r="A6" s="10"/>
      <c r="B6" s="6" t="s">
        <v>8</v>
      </c>
      <c r="C6" s="7">
        <f>C4*C5</f>
        <v>21</v>
      </c>
      <c r="D6" s="8" t="s">
        <v>9</v>
      </c>
      <c r="E6" s="9" t="s">
        <v>5</v>
      </c>
    </row>
    <row r="7">
      <c r="A7" s="10"/>
      <c r="B7" s="6" t="s">
        <v>10</v>
      </c>
      <c r="C7" s="7">
        <v>6.0</v>
      </c>
      <c r="D7" s="8" t="s">
        <v>11</v>
      </c>
      <c r="E7" s="9" t="s">
        <v>5</v>
      </c>
    </row>
    <row r="8">
      <c r="A8" s="10"/>
      <c r="B8" s="6" t="s">
        <v>12</v>
      </c>
      <c r="C8" s="11">
        <v>7.0</v>
      </c>
      <c r="D8" s="8" t="s">
        <v>13</v>
      </c>
      <c r="E8" s="12"/>
    </row>
    <row r="9">
      <c r="A9" s="10"/>
      <c r="B9" s="6" t="s">
        <v>14</v>
      </c>
      <c r="C9" s="11">
        <v>2.6</v>
      </c>
      <c r="D9" s="8" t="s">
        <v>13</v>
      </c>
      <c r="E9" s="13" t="s">
        <v>15</v>
      </c>
    </row>
    <row r="10">
      <c r="A10" s="10"/>
      <c r="B10" s="6" t="s">
        <v>16</v>
      </c>
      <c r="C10" s="7">
        <v>10.0</v>
      </c>
      <c r="D10" s="8" t="s">
        <v>17</v>
      </c>
      <c r="E10" s="9" t="s">
        <v>5</v>
      </c>
    </row>
    <row r="11">
      <c r="A11" s="10"/>
      <c r="B11" s="6" t="s">
        <v>18</v>
      </c>
      <c r="C11" s="11">
        <v>15.0</v>
      </c>
      <c r="D11" s="8" t="s">
        <v>19</v>
      </c>
      <c r="E11" s="9" t="s">
        <v>20</v>
      </c>
    </row>
    <row r="12">
      <c r="A12" s="10"/>
      <c r="B12" s="6" t="s">
        <v>21</v>
      </c>
      <c r="C12" s="11">
        <v>1.0</v>
      </c>
      <c r="D12" s="8" t="s">
        <v>13</v>
      </c>
      <c r="E12" s="9" t="s">
        <v>22</v>
      </c>
    </row>
    <row r="13">
      <c r="A13" s="10"/>
      <c r="B13" s="6" t="s">
        <v>23</v>
      </c>
      <c r="C13" s="11">
        <v>250.0</v>
      </c>
      <c r="D13" s="8" t="s">
        <v>24</v>
      </c>
      <c r="E13" s="9" t="s">
        <v>22</v>
      </c>
    </row>
    <row r="14">
      <c r="A14" s="10"/>
      <c r="B14" s="6" t="s">
        <v>25</v>
      </c>
      <c r="C14" s="11">
        <v>1.0</v>
      </c>
      <c r="D14" s="8" t="s">
        <v>26</v>
      </c>
      <c r="E14" s="9" t="s">
        <v>22</v>
      </c>
    </row>
    <row r="15">
      <c r="A15" s="10"/>
      <c r="B15" s="6" t="s">
        <v>27</v>
      </c>
      <c r="C15" s="14">
        <v>45.0</v>
      </c>
      <c r="D15" s="8" t="s">
        <v>28</v>
      </c>
      <c r="E15" s="9" t="s">
        <v>29</v>
      </c>
    </row>
    <row r="16">
      <c r="A16" s="10"/>
      <c r="B16" s="15" t="s">
        <v>30</v>
      </c>
      <c r="C16" s="16">
        <v>0.25</v>
      </c>
      <c r="D16" s="17" t="s">
        <v>13</v>
      </c>
      <c r="E16" s="9" t="s">
        <v>31</v>
      </c>
    </row>
    <row r="17">
      <c r="A17" s="10"/>
      <c r="B17" s="6" t="s">
        <v>32</v>
      </c>
      <c r="C17" s="16">
        <v>0.2</v>
      </c>
      <c r="D17" s="8"/>
      <c r="E17" s="9" t="s">
        <v>5</v>
      </c>
    </row>
    <row r="18">
      <c r="A18" s="18"/>
      <c r="B18" s="6" t="s">
        <v>33</v>
      </c>
      <c r="C18" s="19">
        <v>10.0</v>
      </c>
      <c r="D18" s="8" t="s">
        <v>34</v>
      </c>
      <c r="E18" s="9" t="s">
        <v>5</v>
      </c>
    </row>
    <row r="19">
      <c r="B19" s="20"/>
      <c r="C19" s="21"/>
      <c r="D19" s="22"/>
    </row>
    <row r="20">
      <c r="A20" s="5" t="s">
        <v>35</v>
      </c>
      <c r="B20" s="6" t="s">
        <v>36</v>
      </c>
      <c r="C20" s="23" t="s">
        <v>37</v>
      </c>
      <c r="D20" s="8"/>
      <c r="E20" s="12"/>
    </row>
    <row r="21" ht="30.0" customHeight="1">
      <c r="A21" s="10"/>
      <c r="B21" s="6" t="s">
        <v>38</v>
      </c>
      <c r="C21" s="11">
        <v>0.05</v>
      </c>
      <c r="D21" s="8" t="s">
        <v>39</v>
      </c>
      <c r="E21" s="24" t="s">
        <v>40</v>
      </c>
    </row>
    <row r="22" ht="15.75" customHeight="1">
      <c r="A22" s="10"/>
      <c r="B22" s="12" t="s">
        <v>41</v>
      </c>
      <c r="C22" s="11">
        <v>2.0</v>
      </c>
      <c r="D22" s="8" t="s">
        <v>19</v>
      </c>
      <c r="E22" s="12"/>
    </row>
    <row r="23" ht="15.75" customHeight="1">
      <c r="A23" s="18"/>
      <c r="B23" s="12" t="s">
        <v>42</v>
      </c>
      <c r="C23" s="11">
        <v>6.0</v>
      </c>
      <c r="D23" s="8" t="s">
        <v>19</v>
      </c>
      <c r="E23" s="24"/>
    </row>
    <row r="24" ht="15.75" customHeight="1">
      <c r="E24" s="25"/>
    </row>
    <row r="25" ht="15.75" customHeight="1">
      <c r="A25" s="26" t="s">
        <v>43</v>
      </c>
      <c r="B25" s="12" t="s">
        <v>44</v>
      </c>
      <c r="C25" s="27" t="s">
        <v>45</v>
      </c>
      <c r="D25" s="12"/>
      <c r="E25" s="24"/>
    </row>
    <row r="26" ht="15.75" customHeight="1">
      <c r="A26" s="10"/>
      <c r="B26" s="12" t="s">
        <v>46</v>
      </c>
      <c r="C26" s="11">
        <v>1.0</v>
      </c>
      <c r="D26" s="8" t="s">
        <v>47</v>
      </c>
      <c r="E26" s="24"/>
    </row>
    <row r="27" ht="15.75" customHeight="1">
      <c r="A27" s="10"/>
      <c r="B27" s="12" t="s">
        <v>48</v>
      </c>
      <c r="C27" s="11">
        <v>0.07</v>
      </c>
      <c r="D27" s="8" t="s">
        <v>39</v>
      </c>
      <c r="E27" s="24"/>
    </row>
    <row r="28" ht="15.75" customHeight="1">
      <c r="A28" s="10"/>
      <c r="B28" s="12" t="s">
        <v>49</v>
      </c>
      <c r="C28" s="11">
        <v>26.7</v>
      </c>
      <c r="D28" s="8" t="s">
        <v>50</v>
      </c>
      <c r="E28" s="24"/>
    </row>
    <row r="29" ht="15.75" customHeight="1">
      <c r="A29" s="10"/>
      <c r="B29" s="6" t="s">
        <v>51</v>
      </c>
      <c r="C29" s="11">
        <v>3.0</v>
      </c>
      <c r="D29" s="8" t="s">
        <v>39</v>
      </c>
      <c r="E29" s="24"/>
    </row>
    <row r="30" ht="15.75" customHeight="1">
      <c r="A30" s="18"/>
      <c r="B30" s="12" t="s">
        <v>52</v>
      </c>
      <c r="C30" s="11">
        <v>6000.0</v>
      </c>
      <c r="D30" s="8" t="s">
        <v>53</v>
      </c>
      <c r="E30" s="24"/>
    </row>
    <row r="31" ht="15.75" customHeight="1">
      <c r="E31" s="25"/>
    </row>
    <row r="32" ht="15.75" customHeight="1">
      <c r="A32" s="28" t="s">
        <v>54</v>
      </c>
      <c r="B32" s="12" t="s">
        <v>55</v>
      </c>
      <c r="C32" s="27" t="s">
        <v>56</v>
      </c>
      <c r="D32" s="12"/>
      <c r="E32" s="24"/>
    </row>
    <row r="33" ht="15.75" customHeight="1">
      <c r="A33" s="10"/>
      <c r="B33" s="12" t="s">
        <v>57</v>
      </c>
      <c r="C33" s="11">
        <v>15.0</v>
      </c>
      <c r="D33" s="8" t="s">
        <v>24</v>
      </c>
      <c r="E33" s="24"/>
    </row>
    <row r="34" ht="15.75" customHeight="1">
      <c r="A34" s="10"/>
      <c r="B34" s="12" t="s">
        <v>58</v>
      </c>
      <c r="C34" s="29">
        <f>(1283+(32*10))/1000</f>
        <v>1.603</v>
      </c>
      <c r="D34" s="8" t="s">
        <v>59</v>
      </c>
      <c r="E34" s="24"/>
    </row>
    <row r="35" ht="15.75" customHeight="1">
      <c r="A35" s="10"/>
      <c r="B35" s="12" t="s">
        <v>60</v>
      </c>
      <c r="C35" s="19">
        <v>1000.0</v>
      </c>
      <c r="D35" s="8" t="s">
        <v>24</v>
      </c>
      <c r="E35" s="24"/>
    </row>
    <row r="36" ht="15.75" customHeight="1">
      <c r="A36" s="18"/>
      <c r="B36" s="12" t="s">
        <v>61</v>
      </c>
      <c r="C36" s="19">
        <v>5000.0</v>
      </c>
      <c r="D36" s="8" t="s">
        <v>62</v>
      </c>
      <c r="E36" s="24"/>
    </row>
    <row r="37" ht="15.75" customHeight="1">
      <c r="E37" s="25"/>
    </row>
    <row r="38" ht="15.75" customHeight="1">
      <c r="B38" s="30" t="s">
        <v>63</v>
      </c>
      <c r="C38" s="31">
        <f>C184</f>
        <v>0.2685538536</v>
      </c>
      <c r="D38" s="32" t="s">
        <v>39</v>
      </c>
      <c r="E38" s="25"/>
    </row>
    <row r="39" ht="15.75" customHeight="1">
      <c r="B39" s="30" t="s">
        <v>64</v>
      </c>
      <c r="C39" s="33">
        <f>C118</f>
        <v>666.6666667</v>
      </c>
      <c r="D39" s="32" t="s">
        <v>53</v>
      </c>
      <c r="E39" s="25"/>
    </row>
    <row r="40" ht="15.75" customHeight="1">
      <c r="B40" s="30" t="s">
        <v>65</v>
      </c>
      <c r="C40" s="33">
        <f>(C39/60)*C22</f>
        <v>22.22222222</v>
      </c>
      <c r="D40" s="32" t="s">
        <v>66</v>
      </c>
      <c r="E40" s="25"/>
    </row>
    <row r="41" ht="15.75" customHeight="1">
      <c r="E41" s="25"/>
    </row>
    <row r="42" ht="15.75" customHeight="1">
      <c r="A42" s="5" t="s">
        <v>67</v>
      </c>
      <c r="B42" s="6" t="s">
        <v>68</v>
      </c>
      <c r="C42" s="14">
        <v>1.0</v>
      </c>
      <c r="D42" s="8" t="s">
        <v>47</v>
      </c>
      <c r="E42" s="24"/>
    </row>
    <row r="43" ht="15.75" customHeight="1">
      <c r="A43" s="10"/>
      <c r="B43" s="6" t="s">
        <v>69</v>
      </c>
      <c r="C43" s="24" t="s">
        <v>70</v>
      </c>
      <c r="D43" s="8"/>
      <c r="E43" s="12"/>
    </row>
    <row r="44" ht="15.75" customHeight="1">
      <c r="A44" s="10"/>
      <c r="B44" s="6" t="s">
        <v>71</v>
      </c>
      <c r="C44" s="8">
        <v>0.0</v>
      </c>
      <c r="D44" s="8" t="s">
        <v>72</v>
      </c>
      <c r="E44" s="12"/>
    </row>
    <row r="45" ht="15.75" customHeight="1">
      <c r="A45" s="10"/>
      <c r="B45" s="6" t="s">
        <v>73</v>
      </c>
      <c r="C45" s="34">
        <v>0.97</v>
      </c>
      <c r="D45" s="8"/>
      <c r="E45" s="24"/>
    </row>
    <row r="46" ht="15.75" customHeight="1">
      <c r="A46" s="10"/>
      <c r="B46" s="6" t="s">
        <v>74</v>
      </c>
      <c r="C46" s="17">
        <v>0.01</v>
      </c>
      <c r="D46" s="8" t="s">
        <v>39</v>
      </c>
      <c r="E46" s="24"/>
    </row>
    <row r="47" ht="15.75" customHeight="1">
      <c r="A47" s="18"/>
      <c r="B47" s="6" t="s">
        <v>75</v>
      </c>
      <c r="C47" s="17">
        <v>7.0</v>
      </c>
      <c r="D47" s="8" t="s">
        <v>76</v>
      </c>
      <c r="E47" s="12"/>
    </row>
    <row r="48" ht="15.75" customHeight="1">
      <c r="E48" s="25"/>
    </row>
    <row r="49" ht="15.75" customHeight="1">
      <c r="B49" s="30" t="s">
        <v>77</v>
      </c>
      <c r="C49" s="35">
        <f>C188</f>
        <v>0.2868596429</v>
      </c>
      <c r="D49" s="32" t="s">
        <v>39</v>
      </c>
      <c r="E49" s="25"/>
    </row>
    <row r="50" ht="15.75" customHeight="1">
      <c r="B50" s="30" t="s">
        <v>78</v>
      </c>
      <c r="C50" s="36">
        <f>C219</f>
        <v>666.6666667</v>
      </c>
      <c r="D50" s="32" t="s">
        <v>53</v>
      </c>
      <c r="E50" s="25"/>
    </row>
    <row r="51" ht="15.75" customHeight="1">
      <c r="E51" s="25"/>
    </row>
    <row r="52" ht="15.75" customHeight="1">
      <c r="A52" s="5" t="s">
        <v>79</v>
      </c>
      <c r="B52" s="12" t="s">
        <v>80</v>
      </c>
      <c r="C52" s="12" t="s">
        <v>81</v>
      </c>
      <c r="D52" s="12"/>
      <c r="E52" s="24"/>
    </row>
    <row r="53" ht="15.75" customHeight="1">
      <c r="A53" s="10"/>
      <c r="B53" s="6" t="s">
        <v>82</v>
      </c>
      <c r="C53" s="11">
        <v>3000.0</v>
      </c>
      <c r="D53" s="8" t="s">
        <v>53</v>
      </c>
      <c r="E53" s="24"/>
    </row>
    <row r="54" ht="15.75" customHeight="1">
      <c r="A54" s="10"/>
      <c r="B54" s="12" t="s">
        <v>83</v>
      </c>
      <c r="C54" s="14">
        <v>0.16</v>
      </c>
      <c r="D54" s="8" t="s">
        <v>39</v>
      </c>
      <c r="E54" s="12"/>
    </row>
    <row r="55" ht="15.75" customHeight="1">
      <c r="A55" s="10"/>
      <c r="B55" s="12" t="s">
        <v>84</v>
      </c>
      <c r="C55" s="14">
        <v>0.24</v>
      </c>
      <c r="D55" s="8" t="s">
        <v>39</v>
      </c>
      <c r="E55" s="12"/>
    </row>
    <row r="56" ht="15.75" customHeight="1">
      <c r="A56" s="10"/>
      <c r="B56" s="12" t="s">
        <v>85</v>
      </c>
      <c r="C56" s="11">
        <f>2.7/(100^2)</f>
        <v>0.00027</v>
      </c>
      <c r="D56" s="8" t="s">
        <v>72</v>
      </c>
      <c r="E56" s="12"/>
    </row>
    <row r="57" ht="15.75" customHeight="1">
      <c r="A57" s="10"/>
      <c r="B57" s="12" t="s">
        <v>86</v>
      </c>
      <c r="C57" s="14">
        <v>7.0</v>
      </c>
      <c r="D57" s="8"/>
      <c r="E57" s="12"/>
    </row>
    <row r="58" ht="15.75" customHeight="1">
      <c r="A58" s="10"/>
      <c r="B58" s="12" t="s">
        <v>87</v>
      </c>
      <c r="C58" s="37">
        <v>0.0</v>
      </c>
      <c r="D58" s="8" t="s">
        <v>39</v>
      </c>
      <c r="E58" s="12" t="s">
        <v>70</v>
      </c>
    </row>
    <row r="59" ht="15.75" customHeight="1">
      <c r="A59" s="18"/>
      <c r="B59" s="12" t="s">
        <v>88</v>
      </c>
      <c r="C59" s="37">
        <f>POWER(2,20)</f>
        <v>1048576</v>
      </c>
      <c r="D59" s="8" t="s">
        <v>89</v>
      </c>
      <c r="E59" s="12"/>
    </row>
    <row r="60" ht="15.75" customHeight="1"/>
    <row r="61">
      <c r="A61" s="38" t="s">
        <v>90</v>
      </c>
      <c r="B61" s="6" t="s">
        <v>91</v>
      </c>
      <c r="C61" s="11">
        <f>24+100</f>
        <v>124</v>
      </c>
      <c r="D61" s="8" t="s">
        <v>19</v>
      </c>
      <c r="E61" s="12"/>
    </row>
    <row r="62" ht="15.75" customHeight="1">
      <c r="A62" s="10"/>
      <c r="B62" s="12" t="s">
        <v>92</v>
      </c>
      <c r="C62" s="16">
        <v>0.98</v>
      </c>
      <c r="D62" s="12"/>
      <c r="E62" s="12" t="s">
        <v>93</v>
      </c>
    </row>
    <row r="63" ht="30.0" customHeight="1">
      <c r="A63" s="10"/>
      <c r="B63" s="6" t="s">
        <v>94</v>
      </c>
      <c r="C63" s="19">
        <v>3000.0</v>
      </c>
      <c r="D63" s="8" t="s">
        <v>24</v>
      </c>
      <c r="E63" s="24" t="s">
        <v>95</v>
      </c>
    </row>
    <row r="64" ht="30.0" customHeight="1">
      <c r="A64" s="10"/>
      <c r="B64" s="6" t="s">
        <v>96</v>
      </c>
      <c r="C64" s="19">
        <v>3000.0</v>
      </c>
      <c r="D64" s="8" t="s">
        <v>24</v>
      </c>
      <c r="E64" s="24" t="s">
        <v>40</v>
      </c>
    </row>
    <row r="65" ht="15.75" customHeight="1">
      <c r="A65" s="10"/>
      <c r="B65" s="6" t="s">
        <v>97</v>
      </c>
      <c r="C65" s="19">
        <v>90.0</v>
      </c>
      <c r="D65" s="8" t="s">
        <v>24</v>
      </c>
      <c r="E65" s="12"/>
    </row>
    <row r="66" ht="15.75" customHeight="1">
      <c r="A66" s="10"/>
      <c r="B66" s="12" t="s">
        <v>98</v>
      </c>
      <c r="C66" s="39">
        <v>3.0</v>
      </c>
      <c r="D66" s="8" t="s">
        <v>39</v>
      </c>
      <c r="E66" s="12"/>
    </row>
    <row r="67" ht="30.0" customHeight="1">
      <c r="A67" s="10"/>
      <c r="B67" s="6" t="s">
        <v>99</v>
      </c>
      <c r="C67" s="19">
        <v>400.0</v>
      </c>
      <c r="D67" s="8" t="s">
        <v>66</v>
      </c>
      <c r="E67" s="24" t="s">
        <v>100</v>
      </c>
    </row>
    <row r="68" ht="15.75" customHeight="1">
      <c r="A68" s="10"/>
      <c r="B68" s="12" t="s">
        <v>101</v>
      </c>
      <c r="C68" s="19">
        <v>5.0</v>
      </c>
      <c r="D68" s="8" t="s">
        <v>102</v>
      </c>
      <c r="E68" s="12"/>
    </row>
    <row r="69" ht="15.75" customHeight="1">
      <c r="A69" s="10"/>
      <c r="B69" s="12" t="s">
        <v>103</v>
      </c>
      <c r="C69" s="19">
        <v>10.0</v>
      </c>
      <c r="D69" s="8" t="s">
        <v>34</v>
      </c>
      <c r="E69" s="12"/>
    </row>
    <row r="70" ht="15.75" customHeight="1">
      <c r="A70" s="10"/>
      <c r="B70" s="6" t="s">
        <v>104</v>
      </c>
      <c r="C70" s="40">
        <f>((0.46*(C61/1000))+0.05)/(100^2)</f>
        <v>0.000010704</v>
      </c>
      <c r="D70" s="8" t="s">
        <v>72</v>
      </c>
      <c r="E70" s="12"/>
    </row>
    <row r="71" ht="30.0" customHeight="1">
      <c r="A71" s="10"/>
      <c r="B71" s="6" t="s">
        <v>105</v>
      </c>
      <c r="C71" s="39">
        <f>(467+(26*10))/1000</f>
        <v>0.727</v>
      </c>
      <c r="D71" s="8" t="s">
        <v>59</v>
      </c>
      <c r="E71" s="24"/>
    </row>
    <row r="72" ht="15.75" customHeight="1">
      <c r="A72" s="10"/>
      <c r="B72" s="12" t="s">
        <v>106</v>
      </c>
      <c r="C72" s="16">
        <v>1.0</v>
      </c>
      <c r="D72" s="8"/>
      <c r="E72" s="24"/>
    </row>
    <row r="73" ht="30.0" customHeight="1">
      <c r="A73" s="18"/>
      <c r="B73" s="6" t="s">
        <v>107</v>
      </c>
      <c r="C73" s="19">
        <v>30000.0</v>
      </c>
      <c r="D73" s="8" t="s">
        <v>108</v>
      </c>
      <c r="E73" s="24" t="s">
        <v>109</v>
      </c>
    </row>
    <row r="74" ht="15.75" customHeight="1"/>
    <row r="75" ht="15.75" customHeight="1"/>
    <row r="76" ht="15.75" customHeight="1">
      <c r="A76" s="5" t="s">
        <v>110</v>
      </c>
      <c r="B76" s="6" t="s">
        <v>111</v>
      </c>
      <c r="C76" s="8">
        <v>0.0</v>
      </c>
      <c r="D76" s="8" t="s">
        <v>53</v>
      </c>
      <c r="E76" s="12"/>
    </row>
    <row r="77" ht="15.75" customHeight="1">
      <c r="A77" s="10"/>
      <c r="B77" s="6" t="s">
        <v>112</v>
      </c>
      <c r="C77" s="8">
        <v>0.0</v>
      </c>
      <c r="D77" s="8" t="s">
        <v>53</v>
      </c>
      <c r="E77" s="12"/>
    </row>
    <row r="78" ht="15.75" customHeight="1">
      <c r="A78" s="10"/>
      <c r="B78" s="6" t="s">
        <v>113</v>
      </c>
      <c r="C78" s="8">
        <v>0.0</v>
      </c>
      <c r="D78" s="8" t="s">
        <v>39</v>
      </c>
      <c r="E78" s="12"/>
    </row>
    <row r="79" ht="15.75" customHeight="1">
      <c r="A79" s="10"/>
      <c r="B79" s="6" t="s">
        <v>114</v>
      </c>
      <c r="C79" s="8">
        <v>0.0</v>
      </c>
      <c r="D79" s="8" t="s">
        <v>39</v>
      </c>
      <c r="E79" s="12"/>
    </row>
    <row r="80" ht="15.75" customHeight="1">
      <c r="A80" s="10"/>
      <c r="B80" s="6" t="s">
        <v>115</v>
      </c>
      <c r="C80" s="8">
        <v>0.0</v>
      </c>
      <c r="D80" s="8" t="s">
        <v>24</v>
      </c>
      <c r="E80" s="12"/>
    </row>
    <row r="81" ht="15.75" customHeight="1">
      <c r="A81" s="10"/>
      <c r="B81" s="6" t="s">
        <v>116</v>
      </c>
      <c r="C81" s="8">
        <v>0.0</v>
      </c>
      <c r="D81" s="8" t="s">
        <v>24</v>
      </c>
      <c r="E81" s="12"/>
    </row>
    <row r="82" ht="15.75" customHeight="1">
      <c r="A82" s="18"/>
      <c r="B82" s="6" t="s">
        <v>117</v>
      </c>
      <c r="C82" s="8">
        <v>0.0</v>
      </c>
      <c r="D82" s="8" t="s">
        <v>9</v>
      </c>
      <c r="E82" s="12"/>
    </row>
    <row r="83" ht="15.75" customHeight="1"/>
    <row r="84" ht="15.75" customHeight="1">
      <c r="A84" s="26" t="s">
        <v>118</v>
      </c>
      <c r="B84" s="12" t="s">
        <v>119</v>
      </c>
      <c r="C84" s="11">
        <v>4000.0</v>
      </c>
      <c r="D84" s="8" t="s">
        <v>53</v>
      </c>
      <c r="E84" s="12"/>
    </row>
    <row r="85" ht="15.75" customHeight="1">
      <c r="A85" s="10"/>
      <c r="B85" s="12" t="s">
        <v>120</v>
      </c>
      <c r="C85" s="41">
        <v>30000.0</v>
      </c>
      <c r="D85" s="8" t="s">
        <v>121</v>
      </c>
      <c r="E85" s="12"/>
    </row>
    <row r="86" ht="15.75" customHeight="1">
      <c r="A86" s="10"/>
      <c r="B86" s="12" t="s">
        <v>122</v>
      </c>
      <c r="C86" s="41">
        <v>0.0</v>
      </c>
      <c r="D86" s="8" t="s">
        <v>123</v>
      </c>
      <c r="E86" s="12" t="s">
        <v>124</v>
      </c>
    </row>
    <row r="87" ht="15.75" customHeight="1">
      <c r="A87" s="18"/>
      <c r="B87" s="6"/>
      <c r="C87" s="12"/>
      <c r="D87" s="8"/>
      <c r="E87" s="12"/>
    </row>
    <row r="88" ht="15.75" customHeight="1"/>
    <row r="89" ht="15.75" customHeight="1"/>
    <row r="90" ht="15.75" customHeight="1"/>
    <row r="91" ht="15.75" customHeight="1">
      <c r="B91" s="42" t="s">
        <v>125</v>
      </c>
      <c r="C91" s="43"/>
      <c r="D91" s="43"/>
    </row>
    <row r="92" ht="15.75" customHeight="1">
      <c r="F92" s="8" t="s">
        <v>13</v>
      </c>
      <c r="G92" s="8" t="s">
        <v>126</v>
      </c>
      <c r="H92" s="8" t="s">
        <v>127</v>
      </c>
    </row>
    <row r="93" ht="15.75" customHeight="1">
      <c r="B93" s="44" t="s">
        <v>128</v>
      </c>
      <c r="C93" s="12"/>
      <c r="D93" s="12"/>
      <c r="F93" s="8">
        <v>0.0</v>
      </c>
      <c r="G93" s="8">
        <v>0.0</v>
      </c>
      <c r="H93" s="8">
        <v>0.0</v>
      </c>
    </row>
    <row r="94" ht="15.75" customHeight="1">
      <c r="B94" s="12"/>
      <c r="C94" s="12"/>
      <c r="D94" s="12"/>
      <c r="F94" s="45">
        <f>C102</f>
        <v>0.225</v>
      </c>
      <c r="G94" s="46">
        <f>C100</f>
        <v>22.22222222</v>
      </c>
      <c r="H94" s="46">
        <f>C105</f>
        <v>2.5</v>
      </c>
    </row>
    <row r="95" ht="15.75" customHeight="1">
      <c r="B95" s="12"/>
      <c r="C95" s="12"/>
      <c r="D95" s="12"/>
      <c r="F95" s="47">
        <f>C99-C102</f>
        <v>0.675</v>
      </c>
      <c r="G95" s="46">
        <f>G94</f>
        <v>22.22222222</v>
      </c>
      <c r="H95" s="46">
        <f>C105+C106</f>
        <v>12.5</v>
      </c>
    </row>
    <row r="96" ht="15.75" customHeight="1">
      <c r="B96" s="12" t="s">
        <v>129</v>
      </c>
      <c r="C96" s="48">
        <f t="shared" ref="C96:C97" si="1">C11</f>
        <v>15</v>
      </c>
      <c r="D96" s="12" t="s">
        <v>19</v>
      </c>
      <c r="F96" s="47">
        <f>C99</f>
        <v>0.9</v>
      </c>
      <c r="G96" s="8">
        <v>0.0</v>
      </c>
      <c r="H96" s="46">
        <f>SUM(C105:C107)</f>
        <v>15</v>
      </c>
    </row>
    <row r="97" ht="15.75" customHeight="1">
      <c r="B97" s="12" t="s">
        <v>130</v>
      </c>
      <c r="C97" s="49">
        <f t="shared" si="1"/>
        <v>1</v>
      </c>
      <c r="D97" s="12" t="s">
        <v>13</v>
      </c>
      <c r="F97" s="47">
        <f>C97</f>
        <v>1</v>
      </c>
      <c r="G97" s="8">
        <f t="shared" ref="G97:H97" si="2">G96</f>
        <v>0</v>
      </c>
      <c r="H97" s="46">
        <f t="shared" si="2"/>
        <v>15</v>
      </c>
    </row>
    <row r="98" ht="15.75" customHeight="1">
      <c r="B98" s="12" t="s">
        <v>131</v>
      </c>
      <c r="C98" s="50">
        <f>10%*C97</f>
        <v>0.1</v>
      </c>
      <c r="D98" s="12" t="s">
        <v>13</v>
      </c>
    </row>
    <row r="99" ht="15.75" customHeight="1">
      <c r="B99" s="12" t="s">
        <v>132</v>
      </c>
      <c r="C99" s="50">
        <f>C97-C98</f>
        <v>0.9</v>
      </c>
      <c r="D99" s="12" t="s">
        <v>13</v>
      </c>
    </row>
    <row r="100" ht="15.75" customHeight="1">
      <c r="B100" s="12" t="s">
        <v>133</v>
      </c>
      <c r="C100" s="51">
        <f>C96/(C99-C102)</f>
        <v>22.22222222</v>
      </c>
      <c r="D100" s="12" t="s">
        <v>66</v>
      </c>
    </row>
    <row r="101" ht="15.75" customHeight="1">
      <c r="B101" s="12" t="s">
        <v>134</v>
      </c>
      <c r="C101" s="52">
        <f>C16</f>
        <v>0.25</v>
      </c>
      <c r="D101" s="12"/>
    </row>
    <row r="102" ht="15.75" customHeight="1">
      <c r="B102" s="12" t="s">
        <v>135</v>
      </c>
      <c r="C102" s="53">
        <f>C101*C99</f>
        <v>0.225</v>
      </c>
      <c r="D102" s="12" t="s">
        <v>13</v>
      </c>
      <c r="F102" s="54"/>
    </row>
    <row r="103" ht="15.75" customHeight="1">
      <c r="B103" s="12" t="s">
        <v>136</v>
      </c>
      <c r="C103" s="51">
        <f>C100/C102</f>
        <v>98.7654321</v>
      </c>
      <c r="D103" s="12" t="s">
        <v>137</v>
      </c>
    </row>
    <row r="104" ht="15.75" customHeight="1">
      <c r="B104" s="12"/>
      <c r="C104" s="12"/>
      <c r="D104" s="12"/>
    </row>
    <row r="105" ht="15.75" customHeight="1">
      <c r="B105" s="12" t="s">
        <v>138</v>
      </c>
      <c r="C105" s="51">
        <f>0.5*C103*C102*C102</f>
        <v>2.5</v>
      </c>
      <c r="D105" s="12" t="s">
        <v>19</v>
      </c>
    </row>
    <row r="106" ht="15.75" customHeight="1">
      <c r="B106" s="12" t="s">
        <v>139</v>
      </c>
      <c r="C106" s="51">
        <f>C100*(C99-(2*C102))</f>
        <v>10</v>
      </c>
      <c r="D106" s="12" t="s">
        <v>19</v>
      </c>
      <c r="E106" s="55"/>
    </row>
    <row r="107" ht="15.75" customHeight="1">
      <c r="B107" s="12" t="s">
        <v>140</v>
      </c>
      <c r="C107" s="51">
        <f>(C100*C102)+(0.5*-C103*C102*C102)</f>
        <v>2.5</v>
      </c>
      <c r="D107" s="12" t="s">
        <v>19</v>
      </c>
    </row>
    <row r="108" ht="15.75" customHeight="1">
      <c r="B108" s="12" t="s">
        <v>141</v>
      </c>
      <c r="C108" s="51">
        <v>0.0</v>
      </c>
      <c r="D108" s="12" t="s">
        <v>19</v>
      </c>
    </row>
    <row r="109" ht="15.75" customHeight="1">
      <c r="B109" s="12"/>
      <c r="C109" s="12"/>
      <c r="D109" s="12"/>
    </row>
    <row r="110" ht="15.75" customHeight="1">
      <c r="B110" s="12" t="s">
        <v>142</v>
      </c>
      <c r="C110" s="51">
        <f>SUM(C105:C109)</f>
        <v>15</v>
      </c>
      <c r="D110" s="12" t="s">
        <v>19</v>
      </c>
    </row>
    <row r="111" ht="15.75" customHeight="1"/>
    <row r="112" ht="15.75" customHeight="1"/>
    <row r="113" ht="15.75" customHeight="1"/>
    <row r="114" ht="15.75" customHeight="1">
      <c r="B114" s="4" t="s">
        <v>143</v>
      </c>
      <c r="C114" s="4">
        <f t="shared" ref="C114:C116" si="3">C21</f>
        <v>0.05</v>
      </c>
      <c r="D114" s="4" t="s">
        <v>39</v>
      </c>
    </row>
    <row r="115" ht="15.75" customHeight="1">
      <c r="B115" s="4" t="s">
        <v>41</v>
      </c>
      <c r="C115" s="4">
        <f t="shared" si="3"/>
        <v>2</v>
      </c>
      <c r="D115" s="4" t="s">
        <v>19</v>
      </c>
    </row>
    <row r="116" ht="15.75" customHeight="1">
      <c r="B116" s="4" t="s">
        <v>42</v>
      </c>
      <c r="C116" s="4">
        <f t="shared" si="3"/>
        <v>6</v>
      </c>
      <c r="D116" s="4" t="s">
        <v>19</v>
      </c>
    </row>
    <row r="117" ht="15.75" customHeight="1">
      <c r="B117" s="4" t="s">
        <v>144</v>
      </c>
      <c r="C117" s="56">
        <f>C100/C115</f>
        <v>11.11111111</v>
      </c>
      <c r="D117" s="4" t="s">
        <v>145</v>
      </c>
    </row>
    <row r="118" ht="15.75" customHeight="1">
      <c r="C118" s="57">
        <f>C117*60</f>
        <v>666.6666667</v>
      </c>
      <c r="D118" s="58" t="s">
        <v>53</v>
      </c>
    </row>
    <row r="119" ht="15.75" customHeight="1"/>
    <row r="120" ht="15.75" customHeight="1">
      <c r="B120" s="4" t="s">
        <v>146</v>
      </c>
      <c r="C120" s="4">
        <f>C53</f>
        <v>3000</v>
      </c>
      <c r="D120" s="4" t="s">
        <v>53</v>
      </c>
      <c r="E120" s="4" t="s">
        <v>147</v>
      </c>
    </row>
    <row r="121" ht="15.75" customHeight="1">
      <c r="B121" s="4" t="s">
        <v>148</v>
      </c>
      <c r="C121" s="59">
        <f>C120/C118</f>
        <v>4.5</v>
      </c>
      <c r="D121" s="4" t="s">
        <v>47</v>
      </c>
    </row>
    <row r="122" ht="15.75" customHeight="1">
      <c r="B122" s="4" t="s">
        <v>149</v>
      </c>
      <c r="C122" s="60">
        <f>C42</f>
        <v>1</v>
      </c>
    </row>
    <row r="123" ht="15.75" customHeight="1"/>
    <row r="124" ht="15.75" customHeight="1">
      <c r="B124" s="42" t="s">
        <v>150</v>
      </c>
      <c r="C124" s="43"/>
      <c r="D124" s="43"/>
    </row>
    <row r="125" ht="15.75" customHeight="1"/>
    <row r="126" ht="15.75" customHeight="1">
      <c r="B126" s="4" t="s">
        <v>151</v>
      </c>
      <c r="C126" s="61">
        <f t="shared" ref="C126:C127" si="4">C13+C33</f>
        <v>265</v>
      </c>
      <c r="D126" s="4" t="s">
        <v>24</v>
      </c>
    </row>
    <row r="127" ht="15.75" customHeight="1">
      <c r="B127" s="4" t="s">
        <v>152</v>
      </c>
      <c r="C127" s="62">
        <f t="shared" si="4"/>
        <v>2.603</v>
      </c>
      <c r="D127" s="4" t="s">
        <v>26</v>
      </c>
    </row>
    <row r="128" ht="15.75" customHeight="1">
      <c r="B128" s="4" t="s">
        <v>153</v>
      </c>
      <c r="C128" s="61">
        <f>C15</f>
        <v>45</v>
      </c>
      <c r="D128" s="4" t="s">
        <v>28</v>
      </c>
    </row>
    <row r="129" ht="15.75" customHeight="1">
      <c r="B129" s="4" t="s">
        <v>154</v>
      </c>
      <c r="C129" s="62">
        <f>C128*(PI()/180)</f>
        <v>0.7853981634</v>
      </c>
      <c r="D129" s="4" t="s">
        <v>155</v>
      </c>
    </row>
    <row r="130" ht="30.0" customHeight="1">
      <c r="B130" s="20" t="s">
        <v>156</v>
      </c>
      <c r="C130" s="61">
        <v>0.03</v>
      </c>
    </row>
    <row r="131" ht="15.75" customHeight="1">
      <c r="B131" s="4" t="s">
        <v>157</v>
      </c>
      <c r="C131" s="63">
        <f>C126+(C127*9.8*(SIN(C129)+(C130*COS(C129))))</f>
        <v>283.5790058</v>
      </c>
      <c r="D131" s="4" t="s">
        <v>24</v>
      </c>
    </row>
    <row r="132" ht="15.75" customHeight="1">
      <c r="C132" s="61"/>
    </row>
    <row r="133" ht="15.75" customHeight="1">
      <c r="B133" s="4" t="s">
        <v>158</v>
      </c>
      <c r="C133" s="61">
        <f>C115/1000</f>
        <v>0.002</v>
      </c>
      <c r="D133" s="4" t="s">
        <v>159</v>
      </c>
    </row>
    <row r="134" ht="15.75" customHeight="1">
      <c r="B134" s="4" t="s">
        <v>160</v>
      </c>
      <c r="C134" s="64">
        <f>C62</f>
        <v>0.98</v>
      </c>
    </row>
    <row r="135" ht="15.75" customHeight="1">
      <c r="B135" s="4" t="s">
        <v>161</v>
      </c>
      <c r="C135" s="61">
        <v>0.3</v>
      </c>
    </row>
    <row r="136" ht="18.0" customHeight="1">
      <c r="B136" s="4" t="s">
        <v>162</v>
      </c>
      <c r="C136" s="63">
        <f>1/3*(C131)</f>
        <v>94.52633527</v>
      </c>
      <c r="D136" s="4" t="s">
        <v>24</v>
      </c>
    </row>
    <row r="137" ht="15.75" customHeight="1">
      <c r="B137" s="4" t="s">
        <v>163</v>
      </c>
      <c r="C137" s="61">
        <v>1.0</v>
      </c>
    </row>
    <row r="138" ht="15.75" customHeight="1">
      <c r="C138" s="61"/>
    </row>
    <row r="139" ht="15.75" customHeight="1">
      <c r="B139" s="4" t="s">
        <v>164</v>
      </c>
      <c r="C139" s="62">
        <f>((C131*C133)/(2*PI()*C134))</f>
        <v>0.09210816435</v>
      </c>
      <c r="D139" s="4" t="s">
        <v>39</v>
      </c>
    </row>
    <row r="140" ht="15.75" customHeight="1">
      <c r="B140" s="4" t="s">
        <v>165</v>
      </c>
      <c r="C140" s="62">
        <f>(C135*C136*C133)/(2*PI())</f>
        <v>0.009026600107</v>
      </c>
      <c r="D140" s="4" t="s">
        <v>39</v>
      </c>
    </row>
    <row r="141" ht="30.0" customHeight="1">
      <c r="B141" s="20" t="s">
        <v>166</v>
      </c>
      <c r="C141" s="62">
        <f>C21</f>
        <v>0.05</v>
      </c>
      <c r="D141" s="25" t="s">
        <v>39</v>
      </c>
    </row>
    <row r="142" ht="15.75" customHeight="1">
      <c r="B142" s="20" t="s">
        <v>167</v>
      </c>
      <c r="C142" s="62">
        <f>C27</f>
        <v>0.07</v>
      </c>
      <c r="D142" s="25" t="s">
        <v>39</v>
      </c>
    </row>
    <row r="143" ht="15.75" customHeight="1"/>
    <row r="144" ht="18.0" customHeight="1">
      <c r="B144" s="65" t="s">
        <v>168</v>
      </c>
      <c r="C144" s="66">
        <f>(C139+MAX(C140,C141)+C142)/C137</f>
        <v>0.2121081644</v>
      </c>
      <c r="D144" s="65" t="s">
        <v>39</v>
      </c>
    </row>
    <row r="145" ht="15.75" customHeight="1">
      <c r="O145" s="4">
        <f>2^11</f>
        <v>2048</v>
      </c>
    </row>
    <row r="146" ht="15.75" customHeight="1">
      <c r="B146" s="67" t="s">
        <v>169</v>
      </c>
    </row>
    <row r="147" ht="15.75" customHeight="1"/>
    <row r="148" ht="15.75" customHeight="1">
      <c r="B148" s="68" t="s">
        <v>170</v>
      </c>
    </row>
    <row r="149" ht="15.75" customHeight="1">
      <c r="B149" s="4" t="s">
        <v>171</v>
      </c>
      <c r="C149" s="59">
        <f>C127</f>
        <v>2.603</v>
      </c>
      <c r="D149" s="4" t="s">
        <v>59</v>
      </c>
    </row>
    <row r="150" ht="15.75" customHeight="1">
      <c r="B150" s="4" t="s">
        <v>158</v>
      </c>
      <c r="C150" s="4">
        <f>C133</f>
        <v>0.002</v>
      </c>
      <c r="D150" s="4" t="s">
        <v>159</v>
      </c>
    </row>
    <row r="151" ht="15.75" customHeight="1">
      <c r="B151" s="4" t="s">
        <v>172</v>
      </c>
      <c r="C151" s="4">
        <f>C137</f>
        <v>1</v>
      </c>
    </row>
    <row r="152" ht="15.75" customHeight="1">
      <c r="B152" s="67"/>
      <c r="C152" s="69">
        <f>C149*(C150/(2*PI()))^2</f>
        <v>0.000000263739041</v>
      </c>
      <c r="D152" s="4" t="s">
        <v>173</v>
      </c>
    </row>
    <row r="153" ht="15.75" customHeight="1">
      <c r="B153" s="67"/>
      <c r="C153" s="69"/>
    </row>
    <row r="154" ht="15.75" customHeight="1">
      <c r="B154" s="4" t="s">
        <v>174</v>
      </c>
      <c r="C154" s="4">
        <f>C28/(1000^2)</f>
        <v>0.0000267</v>
      </c>
      <c r="D154" s="4" t="s">
        <v>173</v>
      </c>
    </row>
    <row r="155" ht="15.75" customHeight="1"/>
    <row r="156" ht="15.75" customHeight="1"/>
    <row r="157" ht="15.75" customHeight="1">
      <c r="B157" s="68" t="s">
        <v>175</v>
      </c>
    </row>
    <row r="158" ht="15.75" customHeight="1">
      <c r="B158" s="4" t="s">
        <v>176</v>
      </c>
      <c r="C158" s="4">
        <f>7.87*10^3</f>
        <v>7870</v>
      </c>
      <c r="D158" s="4" t="s">
        <v>177</v>
      </c>
    </row>
    <row r="159" ht="15.75" customHeight="1">
      <c r="B159" s="4" t="s">
        <v>178</v>
      </c>
      <c r="C159" s="55">
        <f>C61/1000</f>
        <v>0.124</v>
      </c>
      <c r="D159" s="4" t="s">
        <v>159</v>
      </c>
    </row>
    <row r="160" ht="15.75" customHeight="1">
      <c r="B160" s="4" t="s">
        <v>179</v>
      </c>
      <c r="C160" s="4">
        <f>C116/1000</f>
        <v>0.006</v>
      </c>
      <c r="D160" s="4" t="s">
        <v>159</v>
      </c>
    </row>
    <row r="161" ht="15.75" customHeight="1">
      <c r="B161" s="4" t="s">
        <v>180</v>
      </c>
      <c r="C161" s="4">
        <f>(PI()/32)*C158*C159*(C160^4)</f>
        <v>0.0000001241656063</v>
      </c>
      <c r="D161" s="4" t="s">
        <v>173</v>
      </c>
    </row>
    <row r="162" ht="15.75" customHeight="1">
      <c r="B162" s="4" t="s">
        <v>181</v>
      </c>
      <c r="C162" s="70">
        <f>C70</f>
        <v>0.000010704</v>
      </c>
      <c r="D162" s="4" t="s">
        <v>173</v>
      </c>
    </row>
    <row r="163" ht="15.75" customHeight="1"/>
    <row r="164" ht="15.75" customHeight="1">
      <c r="B164" s="68" t="s">
        <v>182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>
      <c r="B171" s="4" t="s">
        <v>183</v>
      </c>
      <c r="C171" s="4">
        <f>C44</f>
        <v>0</v>
      </c>
      <c r="D171" s="4" t="s">
        <v>184</v>
      </c>
    </row>
    <row r="172" ht="15.75" customHeight="1">
      <c r="B172" s="67" t="s">
        <v>185</v>
      </c>
      <c r="C172" s="69">
        <f>C152+MAX(C161:C162)+C154</f>
        <v>0.00003766773904</v>
      </c>
      <c r="D172" s="4" t="s">
        <v>173</v>
      </c>
    </row>
    <row r="173" ht="15.75" customHeight="1">
      <c r="B173" s="4" t="s">
        <v>186</v>
      </c>
      <c r="C173" s="4">
        <f>C122</f>
        <v>1</v>
      </c>
    </row>
    <row r="174" ht="15.75" customHeight="1">
      <c r="B174" s="4" t="s">
        <v>187</v>
      </c>
      <c r="C174" s="4">
        <f>C56</f>
        <v>0.00027</v>
      </c>
      <c r="D174" s="4" t="s">
        <v>173</v>
      </c>
    </row>
    <row r="175" ht="15.75" customHeight="1">
      <c r="B175" s="4" t="s">
        <v>188</v>
      </c>
      <c r="C175" s="71">
        <f>(C172/(C173^2))+C171+C174</f>
        <v>0.000307667739</v>
      </c>
      <c r="D175" s="4" t="s">
        <v>173</v>
      </c>
    </row>
    <row r="176" ht="15.75" customHeight="1"/>
    <row r="177" ht="15.75" customHeight="1">
      <c r="B177" s="4" t="s">
        <v>189</v>
      </c>
      <c r="C177" s="56">
        <f>C118</f>
        <v>666.6666667</v>
      </c>
      <c r="D177" s="4" t="s">
        <v>53</v>
      </c>
    </row>
    <row r="178" ht="15.75" customHeight="1">
      <c r="B178" s="4" t="s">
        <v>135</v>
      </c>
      <c r="C178" s="59">
        <f>C102</f>
        <v>0.225</v>
      </c>
      <c r="D178" s="4" t="s">
        <v>13</v>
      </c>
    </row>
    <row r="179" ht="15.75" customHeight="1"/>
    <row r="180" ht="15.75" customHeight="1">
      <c r="B180" s="65" t="s">
        <v>190</v>
      </c>
      <c r="C180" s="72">
        <f>C172*(C177/(9.55*C178))</f>
        <v>0.01168671368</v>
      </c>
      <c r="D180" s="65" t="s">
        <v>39</v>
      </c>
    </row>
    <row r="181" ht="15.75" customHeight="1"/>
    <row r="182" ht="15.75" customHeight="1">
      <c r="B182" s="4" t="s">
        <v>191</v>
      </c>
      <c r="C182" s="73">
        <f>C17</f>
        <v>0.2</v>
      </c>
    </row>
    <row r="183" ht="15.75" customHeight="1"/>
    <row r="184" ht="15.75" customHeight="1">
      <c r="B184" s="65" t="s">
        <v>192</v>
      </c>
      <c r="C184" s="72">
        <f>(C180+C144)*(1+C182)</f>
        <v>0.2685538536</v>
      </c>
      <c r="D184" s="65" t="s">
        <v>39</v>
      </c>
    </row>
    <row r="185" ht="15.75" customHeight="1">
      <c r="A185" s="58"/>
      <c r="B185" s="58"/>
      <c r="C185" s="59"/>
      <c r="D185" s="25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58"/>
      <c r="B186" s="4" t="s">
        <v>193</v>
      </c>
      <c r="C186" s="73">
        <f t="shared" ref="C186:C187" si="5">C45</f>
        <v>0.97</v>
      </c>
      <c r="D186" s="25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58"/>
      <c r="B187" s="20" t="s">
        <v>74</v>
      </c>
      <c r="C187" s="58">
        <f t="shared" si="5"/>
        <v>0.01</v>
      </c>
      <c r="D187" s="25" t="s">
        <v>39</v>
      </c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58"/>
      <c r="B188" s="4" t="s">
        <v>194</v>
      </c>
      <c r="C188" s="59">
        <f>((C184+C185)/(C173*C186))+C187</f>
        <v>0.2868596429</v>
      </c>
      <c r="D188" s="25" t="s">
        <v>39</v>
      </c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B189" s="4" t="s">
        <v>195</v>
      </c>
      <c r="C189" s="59">
        <f>C54</f>
        <v>0.16</v>
      </c>
      <c r="D189" s="4" t="s">
        <v>39</v>
      </c>
    </row>
    <row r="190" ht="15.75" customHeight="1">
      <c r="B190" s="4" t="s">
        <v>196</v>
      </c>
      <c r="C190" s="73">
        <f>C188/C189</f>
        <v>1.792872768</v>
      </c>
    </row>
    <row r="191" ht="15.75" customHeight="1"/>
    <row r="192" ht="15.75" customHeight="1">
      <c r="B192" s="74" t="s">
        <v>197</v>
      </c>
      <c r="C192" s="75">
        <f>(2*PI()*C177*C184)/60</f>
        <v>18.74859586</v>
      </c>
      <c r="D192" s="76" t="s">
        <v>198</v>
      </c>
    </row>
    <row r="193" ht="15.75" customHeight="1"/>
    <row r="194" ht="15.75" customHeight="1"/>
    <row r="195" ht="15.75" customHeight="1">
      <c r="B195" s="74" t="s">
        <v>199</v>
      </c>
      <c r="C195" s="77" t="s">
        <v>200</v>
      </c>
      <c r="D195" s="74"/>
    </row>
    <row r="196" ht="15.75" customHeight="1"/>
    <row r="197" ht="15.75" customHeight="1">
      <c r="B197" s="74" t="s">
        <v>201</v>
      </c>
      <c r="C197" s="77"/>
      <c r="D197" s="74"/>
    </row>
    <row r="198" ht="15.75" customHeight="1">
      <c r="B198" s="4" t="s">
        <v>202</v>
      </c>
      <c r="C198" s="56">
        <f>C69</f>
        <v>10</v>
      </c>
      <c r="D198" s="4" t="s">
        <v>34</v>
      </c>
    </row>
    <row r="199" ht="15.75" customHeight="1">
      <c r="B199" s="4" t="s">
        <v>41</v>
      </c>
      <c r="C199" s="4">
        <f>C22</f>
        <v>2</v>
      </c>
      <c r="D199" s="4" t="s">
        <v>19</v>
      </c>
    </row>
    <row r="200" ht="15.75" customHeight="1">
      <c r="B200" s="4" t="s">
        <v>203</v>
      </c>
      <c r="C200" s="4">
        <f>C47</f>
        <v>7</v>
      </c>
      <c r="D200" s="4" t="s">
        <v>204</v>
      </c>
    </row>
    <row r="201" ht="15.75" customHeight="1">
      <c r="C201" s="4">
        <f>(1/60)*C200</f>
        <v>0.1166666667</v>
      </c>
      <c r="D201" s="4" t="s">
        <v>28</v>
      </c>
      <c r="E201" s="4" t="s">
        <v>205</v>
      </c>
    </row>
    <row r="202" ht="15.75" customHeight="1">
      <c r="C202" s="4">
        <f>(C201/360)*C199</f>
        <v>0.0006481481481</v>
      </c>
      <c r="D202" s="4" t="s">
        <v>19</v>
      </c>
    </row>
    <row r="203" ht="15.75" customHeight="1">
      <c r="B203" s="4" t="s">
        <v>206</v>
      </c>
      <c r="C203" s="54">
        <f>(C202*1000)/2</f>
        <v>0.3240740741</v>
      </c>
      <c r="D203" s="4" t="s">
        <v>34</v>
      </c>
    </row>
    <row r="204" ht="15.75" customHeight="1">
      <c r="B204" s="4" t="s">
        <v>207</v>
      </c>
      <c r="C204" s="56">
        <f>C59</f>
        <v>1048576</v>
      </c>
      <c r="D204" s="4" t="s">
        <v>89</v>
      </c>
    </row>
    <row r="205" ht="15.75" customHeight="1">
      <c r="B205" s="4" t="s">
        <v>208</v>
      </c>
      <c r="C205" s="78">
        <f>C199/C204</f>
        <v>0.000001907348633</v>
      </c>
      <c r="D205" s="4" t="s">
        <v>19</v>
      </c>
    </row>
    <row r="206" ht="15.75" customHeight="1">
      <c r="B206" s="4" t="s">
        <v>209</v>
      </c>
      <c r="C206" s="54">
        <f>(C205*1000)/2</f>
        <v>0.0009536743164</v>
      </c>
      <c r="D206" s="4" t="s">
        <v>34</v>
      </c>
    </row>
    <row r="207" ht="15.75" customHeight="1">
      <c r="C207" s="54"/>
    </row>
    <row r="208" ht="15.75" customHeight="1">
      <c r="B208" s="4" t="s">
        <v>210</v>
      </c>
      <c r="C208" s="56">
        <f>C198+C203+C206</f>
        <v>10.32502775</v>
      </c>
      <c r="D208" s="4" t="s">
        <v>34</v>
      </c>
    </row>
    <row r="209" ht="15.75" customHeight="1">
      <c r="B209" s="4" t="s">
        <v>211</v>
      </c>
      <c r="C209" s="56">
        <f>C18</f>
        <v>10</v>
      </c>
      <c r="D209" s="4" t="s">
        <v>34</v>
      </c>
    </row>
    <row r="210" ht="15.75" customHeight="1">
      <c r="B210" s="4" t="s">
        <v>212</v>
      </c>
      <c r="C210" s="79">
        <f>C208/C209</f>
        <v>1.032502775</v>
      </c>
    </row>
    <row r="211" ht="15.75" customHeight="1">
      <c r="B211" s="20" t="s">
        <v>213</v>
      </c>
      <c r="C211" s="22" t="str">
        <f>IF(C210&lt;0.7,"OK",IF(C210&lt;0.9,"Check","NOK"))</f>
        <v>NOK</v>
      </c>
    </row>
    <row r="212" ht="15.75" customHeight="1">
      <c r="C212" s="56"/>
    </row>
    <row r="213" ht="15.75" customHeight="1"/>
    <row r="214" ht="15.75" customHeight="1"/>
    <row r="215" ht="15.75" customHeight="1">
      <c r="B215" s="74" t="s">
        <v>214</v>
      </c>
      <c r="C215" s="74" t="s">
        <v>215</v>
      </c>
      <c r="D215" s="74"/>
    </row>
    <row r="216" ht="15.75" customHeight="1"/>
    <row r="217" ht="15.75" customHeight="1">
      <c r="B217" s="74" t="s">
        <v>216</v>
      </c>
      <c r="C217" s="74"/>
      <c r="D217" s="74"/>
    </row>
    <row r="218" ht="15.75" customHeight="1" outlineLevel="1">
      <c r="B218" s="4" t="s">
        <v>217</v>
      </c>
      <c r="C218" s="4">
        <f>C53</f>
        <v>3000</v>
      </c>
      <c r="D218" s="4" t="s">
        <v>53</v>
      </c>
    </row>
    <row r="219" ht="15.75" customHeight="1" outlineLevel="1">
      <c r="B219" s="4" t="s">
        <v>218</v>
      </c>
      <c r="C219" s="56">
        <f>C118*C42</f>
        <v>666.6666667</v>
      </c>
      <c r="D219" s="4" t="s">
        <v>53</v>
      </c>
    </row>
    <row r="220" ht="15.75" customHeight="1" outlineLevel="1">
      <c r="B220" s="4" t="s">
        <v>212</v>
      </c>
      <c r="C220" s="73">
        <f>C219/C218</f>
        <v>0.2222222222</v>
      </c>
    </row>
    <row r="221" ht="15.75" customHeight="1" outlineLevel="1">
      <c r="B221" s="20" t="s">
        <v>213</v>
      </c>
      <c r="C221" s="22" t="str">
        <f>IF(C220&lt;0.95,"OK",IF(C220&lt;1,"Check","NOK"))</f>
        <v>OK</v>
      </c>
    </row>
    <row r="222" ht="15.75" customHeight="1"/>
    <row r="223" ht="15.75" customHeight="1">
      <c r="B223" s="74" t="s">
        <v>219</v>
      </c>
      <c r="C223" s="74"/>
      <c r="D223" s="74"/>
    </row>
    <row r="224" ht="15.75" customHeight="1" outlineLevel="1">
      <c r="B224" s="4" t="s">
        <v>220</v>
      </c>
      <c r="C224" s="4">
        <f>C54</f>
        <v>0.16</v>
      </c>
      <c r="D224" s="4" t="s">
        <v>39</v>
      </c>
    </row>
    <row r="225" ht="15.75" customHeight="1" outlineLevel="1">
      <c r="B225" s="4" t="s">
        <v>221</v>
      </c>
      <c r="C225" s="59">
        <f>C188</f>
        <v>0.2868596429</v>
      </c>
      <c r="D225" s="4" t="s">
        <v>39</v>
      </c>
    </row>
    <row r="226" ht="15.75" customHeight="1" outlineLevel="1">
      <c r="B226" s="4" t="s">
        <v>212</v>
      </c>
      <c r="C226" s="73">
        <f>C225/C224</f>
        <v>1.792872768</v>
      </c>
      <c r="D226" s="4" t="s">
        <v>39</v>
      </c>
    </row>
    <row r="227" ht="15.75" customHeight="1" outlineLevel="1">
      <c r="B227" s="4" t="s">
        <v>213</v>
      </c>
      <c r="C227" s="25" t="str">
        <f>IF(C226&lt;1,"OK","Check Duty cycle")</f>
        <v>Check Duty cycle</v>
      </c>
    </row>
    <row r="228" ht="15.75" customHeight="1">
      <c r="C228" s="73"/>
    </row>
    <row r="229" ht="15.75" customHeight="1">
      <c r="B229" s="20"/>
      <c r="G229" s="73"/>
    </row>
    <row r="230" ht="15.75" customHeight="1">
      <c r="B230" s="20"/>
      <c r="G230" s="73"/>
    </row>
    <row r="231" ht="15.75" customHeight="1">
      <c r="B231" s="74" t="s">
        <v>222</v>
      </c>
      <c r="C231" s="74"/>
      <c r="D231" s="74"/>
      <c r="G231" s="73"/>
    </row>
    <row r="232" ht="45.0" customHeight="1">
      <c r="A232" s="20"/>
      <c r="B232" s="80" t="s">
        <v>223</v>
      </c>
      <c r="C232" s="80" t="s">
        <v>13</v>
      </c>
      <c r="D232" s="80" t="s">
        <v>13</v>
      </c>
      <c r="E232" s="80" t="s">
        <v>224</v>
      </c>
      <c r="F232" s="80" t="s">
        <v>225</v>
      </c>
      <c r="G232" s="80" t="s">
        <v>226</v>
      </c>
      <c r="H232" s="80" t="s">
        <v>227</v>
      </c>
      <c r="I232" s="80" t="s">
        <v>228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3.75" customHeight="1">
      <c r="C233" s="81">
        <v>0.0</v>
      </c>
      <c r="D233" s="82">
        <v>0.0</v>
      </c>
      <c r="E233" s="81">
        <f t="shared" ref="E233:F233" si="6">E234</f>
        <v>0.2868596429</v>
      </c>
      <c r="F233" s="82">
        <f t="shared" si="6"/>
        <v>0.16</v>
      </c>
      <c r="G233" s="59"/>
      <c r="H233" s="59"/>
      <c r="I233" s="59"/>
    </row>
    <row r="234" ht="15.75" customHeight="1">
      <c r="B234" s="4" t="s">
        <v>229</v>
      </c>
      <c r="C234" s="83">
        <f>C102</f>
        <v>0.225</v>
      </c>
      <c r="D234" s="59">
        <f>C234</f>
        <v>0.225</v>
      </c>
      <c r="E234" s="83">
        <f>C188</f>
        <v>0.2868596429</v>
      </c>
      <c r="F234" s="59">
        <f>C189</f>
        <v>0.16</v>
      </c>
      <c r="G234" s="59">
        <f>IF((E234-F234)&gt;0,(E234-F234),0)</f>
        <v>0.1268596429</v>
      </c>
      <c r="H234" s="59">
        <f>C234*G234</f>
        <v>0.02854341966</v>
      </c>
      <c r="I234" s="59">
        <f>(E234*C234)-H234</f>
        <v>0.036</v>
      </c>
    </row>
    <row r="235" ht="3.75" customHeight="1">
      <c r="C235" s="81"/>
      <c r="D235" s="82">
        <f>D234+0.001</f>
        <v>0.226</v>
      </c>
      <c r="E235" s="81">
        <f>E236</f>
        <v>0.2829640717</v>
      </c>
      <c r="F235" s="82">
        <f>F234</f>
        <v>0.16</v>
      </c>
      <c r="G235" s="59"/>
      <c r="H235" s="59"/>
      <c r="I235" s="59"/>
    </row>
    <row r="236" ht="15.75" customHeight="1">
      <c r="B236" s="4" t="s">
        <v>230</v>
      </c>
      <c r="C236" s="83">
        <f>C99-C234-C238</f>
        <v>0.45</v>
      </c>
      <c r="D236" s="59">
        <f>D234+C236</f>
        <v>0.675</v>
      </c>
      <c r="E236" s="83">
        <f>E234-(C180/3)</f>
        <v>0.2829640717</v>
      </c>
      <c r="F236" s="59">
        <f>F234</f>
        <v>0.16</v>
      </c>
      <c r="G236" s="59">
        <f>IF((E236-F236)&gt;0,(E236-F236),0)</f>
        <v>0.1229640717</v>
      </c>
      <c r="H236" s="59">
        <f>C236*G236</f>
        <v>0.05533383227</v>
      </c>
      <c r="I236" s="59">
        <f>(E236*C236)-H236</f>
        <v>0.072</v>
      </c>
    </row>
    <row r="237" ht="3.75" customHeight="1">
      <c r="C237" s="81"/>
      <c r="D237" s="82">
        <f>D236+0.001</f>
        <v>0.676</v>
      </c>
      <c r="E237" s="81">
        <f>E238</f>
        <v>0.00808090125</v>
      </c>
      <c r="F237" s="82">
        <f>F236</f>
        <v>0.16</v>
      </c>
      <c r="G237" s="59"/>
      <c r="H237" s="59"/>
      <c r="I237" s="59"/>
    </row>
    <row r="238" ht="15.75" customHeight="1">
      <c r="B238" s="4" t="s">
        <v>231</v>
      </c>
      <c r="C238" s="83">
        <f>C102</f>
        <v>0.225</v>
      </c>
      <c r="D238" s="59">
        <f>C238+D236</f>
        <v>0.9</v>
      </c>
      <c r="E238" s="83">
        <f>C262*1.5</f>
        <v>0.00808090125</v>
      </c>
      <c r="F238" s="59">
        <f>F236</f>
        <v>0.16</v>
      </c>
      <c r="G238" s="59">
        <f>IF((E238-F238)&gt;0,(E238-F238),0)</f>
        <v>0</v>
      </c>
      <c r="H238" s="59">
        <f>C238*G238</f>
        <v>0</v>
      </c>
      <c r="I238" s="59">
        <f>(E238*C238)-H238</f>
        <v>0.001818202781</v>
      </c>
    </row>
    <row r="239" ht="4.5" customHeight="1">
      <c r="C239" s="81"/>
      <c r="D239" s="82">
        <f>D238+0.001</f>
        <v>0.901</v>
      </c>
      <c r="E239" s="81">
        <f>E240</f>
        <v>0.0053872675</v>
      </c>
      <c r="F239" s="82">
        <f>F238</f>
        <v>0.16</v>
      </c>
      <c r="G239" s="59"/>
      <c r="H239" s="59"/>
      <c r="I239" s="59"/>
    </row>
    <row r="240" ht="15.75" customHeight="1">
      <c r="B240" s="4" t="s">
        <v>232</v>
      </c>
      <c r="C240" s="83">
        <f>C98</f>
        <v>0.1</v>
      </c>
      <c r="D240" s="59">
        <f>C240+D238</f>
        <v>1</v>
      </c>
      <c r="E240" s="83">
        <f>C262</f>
        <v>0.0053872675</v>
      </c>
      <c r="F240" s="59">
        <f>F238</f>
        <v>0.16</v>
      </c>
      <c r="G240" s="59">
        <f>IF((E240-F240)&gt;0,(E240-F240),0)</f>
        <v>0</v>
      </c>
      <c r="H240" s="59">
        <f>C240*G240</f>
        <v>0</v>
      </c>
      <c r="I240" s="59">
        <f>(E240*C240)-H240</f>
        <v>0.00053872675</v>
      </c>
    </row>
    <row r="241" ht="15.75" customHeight="1">
      <c r="B241" s="4" t="s">
        <v>233</v>
      </c>
      <c r="C241" s="59"/>
      <c r="H241" s="59">
        <f t="shared" ref="H241:I241" si="7">SUM(H234:H240)</f>
        <v>0.08387725193</v>
      </c>
      <c r="I241" s="59">
        <f t="shared" si="7"/>
        <v>0.1103569295</v>
      </c>
    </row>
    <row r="242" ht="15.75" customHeight="1">
      <c r="B242" s="4" t="s">
        <v>234</v>
      </c>
      <c r="C242" s="79">
        <f>H241/I241</f>
        <v>0.7600542375</v>
      </c>
      <c r="I242" s="79"/>
    </row>
    <row r="243" ht="15.75" customHeight="1">
      <c r="B243" s="4" t="s">
        <v>235</v>
      </c>
      <c r="C243" s="4">
        <f>C55</f>
        <v>0.24</v>
      </c>
      <c r="D243" s="4" t="s">
        <v>39</v>
      </c>
    </row>
    <row r="244" ht="15.75" customHeight="1">
      <c r="B244" s="4" t="s">
        <v>236</v>
      </c>
      <c r="C244" s="59">
        <f>C188</f>
        <v>0.2868596429</v>
      </c>
      <c r="D244" s="4" t="s">
        <v>39</v>
      </c>
    </row>
    <row r="245" ht="15.75" customHeight="1">
      <c r="B245" s="4" t="s">
        <v>213</v>
      </c>
      <c r="C245" s="4" t="str">
        <f>IF(C244&lt;C243,IF(C242&lt;20%,"OK","Duty cycle NOK"),"Peak Torque NOK")</f>
        <v>Peak Torque NOK</v>
      </c>
    </row>
    <row r="246" ht="15.75" customHeight="1">
      <c r="C246" s="73"/>
    </row>
    <row r="247" ht="15.75" customHeight="1"/>
    <row r="248" ht="15.75" customHeight="1"/>
    <row r="249" ht="15.75" customHeight="1"/>
    <row r="250" ht="15.75" customHeight="1"/>
    <row r="251" ht="15.75" customHeight="1">
      <c r="B251" s="74" t="s">
        <v>237</v>
      </c>
      <c r="C251" s="84"/>
      <c r="D251" s="76"/>
    </row>
    <row r="252" ht="15.75" customHeight="1" outlineLevel="1">
      <c r="B252" s="4" t="s">
        <v>238</v>
      </c>
      <c r="C252" s="59">
        <f>C175/C174</f>
        <v>1.139510145</v>
      </c>
    </row>
    <row r="253" ht="15.75" customHeight="1" outlineLevel="1">
      <c r="B253" s="4" t="s">
        <v>239</v>
      </c>
      <c r="C253" s="56">
        <f>C57</f>
        <v>7</v>
      </c>
    </row>
    <row r="254" ht="15.75" customHeight="1" outlineLevel="1">
      <c r="B254" s="4" t="s">
        <v>212</v>
      </c>
      <c r="C254" s="79">
        <f>C252/C253</f>
        <v>0.1627871635</v>
      </c>
    </row>
    <row r="255" ht="15.75" customHeight="1" outlineLevel="1">
      <c r="B255" s="4" t="s">
        <v>213</v>
      </c>
      <c r="C255" s="22" t="str">
        <f>IF(C254&lt;0.8,"OK",IF(C254&lt;0.9,"Check","NOK"))</f>
        <v>OK</v>
      </c>
    </row>
    <row r="256" ht="15.75" customHeight="1">
      <c r="C256" s="73"/>
    </row>
    <row r="257" ht="15.75" customHeight="1">
      <c r="B257" s="74" t="s">
        <v>240</v>
      </c>
      <c r="C257" s="85"/>
      <c r="D257" s="76"/>
    </row>
    <row r="258" ht="15.75" customHeight="1" outlineLevel="1">
      <c r="B258" s="4" t="s">
        <v>241</v>
      </c>
      <c r="C258" s="22">
        <f>(C14+C71)*9.8</f>
        <v>16.9246</v>
      </c>
      <c r="D258" s="4" t="s">
        <v>24</v>
      </c>
    </row>
    <row r="259" ht="15.75" customHeight="1" outlineLevel="1">
      <c r="B259" s="4" t="s">
        <v>242</v>
      </c>
      <c r="C259" s="22">
        <f>C115/1000</f>
        <v>0.002</v>
      </c>
      <c r="D259" s="4" t="s">
        <v>159</v>
      </c>
    </row>
    <row r="260" ht="15.75" customHeight="1" outlineLevel="1">
      <c r="B260" s="4" t="s">
        <v>243</v>
      </c>
      <c r="C260" s="83">
        <f>(C258*C259)/(2*PI())</f>
        <v>0.0053872675</v>
      </c>
      <c r="D260" s="4" t="s">
        <v>39</v>
      </c>
    </row>
    <row r="261" ht="15.75" customHeight="1" outlineLevel="1">
      <c r="B261" s="4" t="s">
        <v>186</v>
      </c>
      <c r="C261" s="21">
        <f>C122</f>
        <v>1</v>
      </c>
    </row>
    <row r="262" ht="18.0" customHeight="1" outlineLevel="1">
      <c r="B262" s="4" t="s">
        <v>244</v>
      </c>
      <c r="C262" s="83">
        <f>C260/C261</f>
        <v>0.0053872675</v>
      </c>
      <c r="D262" s="4" t="s">
        <v>39</v>
      </c>
    </row>
    <row r="263" ht="15.75" customHeight="1" outlineLevel="1">
      <c r="B263" s="4" t="s">
        <v>245</v>
      </c>
      <c r="C263" s="86">
        <f>C58</f>
        <v>0</v>
      </c>
      <c r="D263" s="4" t="s">
        <v>39</v>
      </c>
    </row>
    <row r="264" ht="15.75" customHeight="1" outlineLevel="1">
      <c r="B264" s="4" t="s">
        <v>212</v>
      </c>
      <c r="C264" s="79" t="str">
        <f>C262/C263</f>
        <v>#DIV/0!</v>
      </c>
    </row>
    <row r="265" ht="15.75" customHeight="1" outlineLevel="1">
      <c r="B265" s="4" t="s">
        <v>213</v>
      </c>
      <c r="C265" s="22" t="str">
        <f>IF(C264&lt;0.8,"OK",IF(C264&lt;0.9,"Check","NOK"))</f>
        <v>#DIV/0!</v>
      </c>
    </row>
    <row r="266" ht="15.75" customHeight="1">
      <c r="C266" s="22"/>
    </row>
    <row r="267" ht="15.75" customHeight="1">
      <c r="B267" s="74" t="s">
        <v>246</v>
      </c>
      <c r="C267" s="85"/>
      <c r="D267" s="76"/>
    </row>
    <row r="268" ht="18.0" customHeight="1" outlineLevel="1">
      <c r="B268" s="4" t="s">
        <v>247</v>
      </c>
      <c r="C268" s="83">
        <f>C262</f>
        <v>0.0053872675</v>
      </c>
      <c r="D268" s="4" t="s">
        <v>39</v>
      </c>
    </row>
    <row r="269" ht="15.75" customHeight="1" outlineLevel="1">
      <c r="B269" s="4" t="s">
        <v>248</v>
      </c>
      <c r="C269" s="83">
        <f>C189</f>
        <v>0.16</v>
      </c>
      <c r="D269" s="4" t="s">
        <v>39</v>
      </c>
    </row>
    <row r="270" ht="15.75" customHeight="1" outlineLevel="1">
      <c r="B270" s="4" t="s">
        <v>212</v>
      </c>
      <c r="C270" s="79">
        <f>C268/C269</f>
        <v>0.03367042187</v>
      </c>
    </row>
    <row r="271" ht="15.75" customHeight="1" outlineLevel="1">
      <c r="B271" s="4" t="s">
        <v>213</v>
      </c>
      <c r="C271" s="22" t="str">
        <f>IF(C270&lt;1,"OK","Check duty cycle")</f>
        <v>OK</v>
      </c>
    </row>
    <row r="272" ht="15.75" customHeight="1">
      <c r="C272" s="22"/>
    </row>
    <row r="273" ht="15.75" customHeight="1">
      <c r="B273" s="74" t="s">
        <v>249</v>
      </c>
      <c r="C273" s="85"/>
      <c r="D273" s="76"/>
    </row>
    <row r="274" ht="15.75" customHeight="1" outlineLevel="1">
      <c r="B274" s="4" t="s">
        <v>8</v>
      </c>
      <c r="C274" s="22">
        <f>C6</f>
        <v>21</v>
      </c>
      <c r="D274" s="4" t="s">
        <v>9</v>
      </c>
    </row>
    <row r="275" ht="15.75" customHeight="1" outlineLevel="1">
      <c r="B275" s="4" t="s">
        <v>250</v>
      </c>
      <c r="C275" s="22">
        <f>C7*52</f>
        <v>312</v>
      </c>
      <c r="D275" s="4" t="s">
        <v>11</v>
      </c>
    </row>
    <row r="276" ht="15.75" customHeight="1" outlineLevel="1">
      <c r="B276" s="4" t="s">
        <v>251</v>
      </c>
      <c r="C276" s="22">
        <f>C275*C274</f>
        <v>6552</v>
      </c>
      <c r="D276" s="4" t="s">
        <v>9</v>
      </c>
    </row>
    <row r="277" ht="15.75" customHeight="1" outlineLevel="1">
      <c r="B277" s="20" t="s">
        <v>252</v>
      </c>
      <c r="C277" s="4">
        <f t="shared" ref="C277:C278" si="8">C8</f>
        <v>7</v>
      </c>
      <c r="D277" s="22" t="s">
        <v>13</v>
      </c>
    </row>
    <row r="278" ht="15.75" customHeight="1" outlineLevel="1">
      <c r="B278" s="20" t="s">
        <v>253</v>
      </c>
      <c r="C278" s="4">
        <f t="shared" si="8"/>
        <v>2.6</v>
      </c>
      <c r="D278" s="22" t="s">
        <v>13</v>
      </c>
    </row>
    <row r="279" ht="15.75" customHeight="1" outlineLevel="1">
      <c r="B279" s="4" t="s">
        <v>254</v>
      </c>
      <c r="C279" s="22">
        <f>((C274*60*60)/C277)*C278</f>
        <v>28080</v>
      </c>
      <c r="D279" s="4" t="s">
        <v>13</v>
      </c>
    </row>
    <row r="280" ht="15.75" customHeight="1" outlineLevel="1">
      <c r="C280" s="22">
        <f>C279/(60*60)</f>
        <v>7.8</v>
      </c>
      <c r="D280" s="4" t="s">
        <v>9</v>
      </c>
    </row>
    <row r="281" ht="15.75" customHeight="1" outlineLevel="1">
      <c r="B281" s="4" t="s">
        <v>255</v>
      </c>
      <c r="C281" s="21">
        <f>C280*C275</f>
        <v>2433.6</v>
      </c>
      <c r="D281" s="4" t="s">
        <v>9</v>
      </c>
    </row>
    <row r="282" ht="15.75" customHeight="1" outlineLevel="1">
      <c r="B282" s="4" t="s">
        <v>256</v>
      </c>
      <c r="C282" s="87">
        <f>C85</f>
        <v>30000</v>
      </c>
      <c r="D282" s="22" t="s">
        <v>9</v>
      </c>
    </row>
    <row r="283" ht="15.75" customHeight="1" outlineLevel="1">
      <c r="C283" s="88">
        <f>C282/C281</f>
        <v>12.32741617</v>
      </c>
      <c r="D283" s="22" t="s">
        <v>17</v>
      </c>
    </row>
    <row r="284" ht="15.75" customHeight="1" outlineLevel="1">
      <c r="B284" s="20" t="s">
        <v>16</v>
      </c>
      <c r="C284" s="22">
        <f>C10</f>
        <v>10</v>
      </c>
      <c r="D284" s="22" t="s">
        <v>17</v>
      </c>
    </row>
    <row r="285" ht="15.75" customHeight="1" outlineLevel="1">
      <c r="B285" s="4" t="s">
        <v>212</v>
      </c>
      <c r="C285" s="79">
        <f>C284/C283</f>
        <v>0.8112</v>
      </c>
      <c r="D285" s="22"/>
    </row>
    <row r="286" ht="15.75" customHeight="1" outlineLevel="1">
      <c r="B286" s="20" t="s">
        <v>213</v>
      </c>
      <c r="C286" s="22" t="str">
        <f>IF(C285&lt;0.8,"OK",IF(C285&lt;0.9,"Check","NOK"))</f>
        <v>Check</v>
      </c>
      <c r="D286" s="22"/>
    </row>
    <row r="287" ht="15.75" customHeight="1"/>
    <row r="288" ht="15.75" customHeight="1">
      <c r="B288" s="74" t="s">
        <v>257</v>
      </c>
      <c r="C288" s="85"/>
      <c r="D288" s="76"/>
    </row>
    <row r="289" ht="15.75" customHeight="1" outlineLevel="1">
      <c r="B289" s="4" t="s">
        <v>258</v>
      </c>
      <c r="C289" s="22">
        <v>2.0</v>
      </c>
      <c r="D289" s="4" t="s">
        <v>123</v>
      </c>
    </row>
    <row r="290" ht="15.75" customHeight="1" outlineLevel="1">
      <c r="B290" s="4" t="s">
        <v>259</v>
      </c>
      <c r="C290" s="22">
        <f>C289*52</f>
        <v>104</v>
      </c>
      <c r="D290" s="4" t="s">
        <v>123</v>
      </c>
    </row>
    <row r="291" ht="15.75" customHeight="1" outlineLevel="1">
      <c r="B291" s="4" t="s">
        <v>122</v>
      </c>
      <c r="C291" s="87">
        <f>C86</f>
        <v>0</v>
      </c>
      <c r="D291" s="22" t="s">
        <v>123</v>
      </c>
    </row>
    <row r="292" ht="15.75" customHeight="1" outlineLevel="1">
      <c r="C292" s="87">
        <f>C291/C290</f>
        <v>0</v>
      </c>
      <c r="D292" s="22" t="s">
        <v>17</v>
      </c>
    </row>
    <row r="293" ht="15.75" customHeight="1" outlineLevel="1">
      <c r="B293" s="20" t="s">
        <v>16</v>
      </c>
      <c r="C293" s="22">
        <f>C284</f>
        <v>10</v>
      </c>
      <c r="D293" s="22" t="s">
        <v>17</v>
      </c>
    </row>
    <row r="294" ht="14.25" customHeight="1" outlineLevel="1">
      <c r="B294" s="20" t="s">
        <v>212</v>
      </c>
      <c r="C294" s="79" t="str">
        <f>C293/C292</f>
        <v>#DIV/0!</v>
      </c>
    </row>
    <row r="295" ht="15.75" customHeight="1" outlineLevel="1">
      <c r="B295" s="20" t="s">
        <v>213</v>
      </c>
      <c r="C295" s="22" t="str">
        <f>IF(C294&lt;0.8,"OK",IF(C294&lt;0.9,"Check","NOK"))</f>
        <v>#DIV/0!</v>
      </c>
    </row>
    <row r="296" ht="15.75" customHeight="1"/>
    <row r="297" ht="15.75" customHeight="1">
      <c r="B297" s="74" t="s">
        <v>260</v>
      </c>
      <c r="C297" s="74"/>
      <c r="D297" s="74"/>
    </row>
    <row r="298" ht="15.75" customHeight="1" outlineLevel="1">
      <c r="B298" s="20" t="s">
        <v>261</v>
      </c>
      <c r="C298" s="4">
        <f>C76</f>
        <v>0</v>
      </c>
      <c r="D298" s="4" t="s">
        <v>53</v>
      </c>
    </row>
    <row r="299" ht="15.75" customHeight="1" outlineLevel="1">
      <c r="B299" s="20" t="s">
        <v>262</v>
      </c>
      <c r="C299" s="56">
        <f>C219</f>
        <v>666.6666667</v>
      </c>
      <c r="D299" s="4" t="s">
        <v>53</v>
      </c>
    </row>
    <row r="300" ht="15.75" customHeight="1" outlineLevel="1">
      <c r="B300" s="20" t="s">
        <v>212</v>
      </c>
      <c r="C300" s="79" t="str">
        <f>C299/C298</f>
        <v>#DIV/0!</v>
      </c>
    </row>
    <row r="301" ht="15.75" customHeight="1" outlineLevel="1">
      <c r="B301" s="20" t="s">
        <v>213</v>
      </c>
      <c r="C301" s="22" t="str">
        <f>IF(C300&lt;0.9,"OK",IF(C300&lt;0.95,"Check","NOK"))</f>
        <v>#DIV/0!</v>
      </c>
    </row>
    <row r="302" ht="15.75" customHeight="1"/>
    <row r="303" ht="15.75" customHeight="1">
      <c r="B303" s="74" t="s">
        <v>263</v>
      </c>
      <c r="C303" s="74"/>
      <c r="D303" s="74"/>
    </row>
    <row r="304" ht="15.75" customHeight="1" outlineLevel="1">
      <c r="B304" s="20" t="s">
        <v>264</v>
      </c>
      <c r="C304" s="4">
        <f>C78</f>
        <v>0</v>
      </c>
      <c r="D304" s="4" t="s">
        <v>39</v>
      </c>
    </row>
    <row r="305" ht="15.75" customHeight="1" outlineLevel="1">
      <c r="B305" s="20" t="s">
        <v>265</v>
      </c>
      <c r="C305" s="59">
        <f>C184</f>
        <v>0.2685538536</v>
      </c>
      <c r="D305" s="4" t="s">
        <v>39</v>
      </c>
    </row>
    <row r="306" ht="15.75" customHeight="1" outlineLevel="1">
      <c r="B306" s="20" t="s">
        <v>212</v>
      </c>
      <c r="C306" s="79" t="str">
        <f>C305/C304</f>
        <v>#DIV/0!</v>
      </c>
    </row>
    <row r="307" ht="15.75" customHeight="1" outlineLevel="1">
      <c r="B307" s="20" t="s">
        <v>213</v>
      </c>
      <c r="C307" s="22" t="str">
        <f>IF(C306&lt;0.8,"OK",IF(C306&lt;0.9,"Check","NOK"))</f>
        <v>#DIV/0!</v>
      </c>
    </row>
    <row r="308" ht="15.75" customHeight="1"/>
    <row r="309" ht="15.75" customHeight="1">
      <c r="B309" s="74" t="s">
        <v>266</v>
      </c>
      <c r="C309" s="85"/>
      <c r="D309" s="76"/>
    </row>
    <row r="310" ht="15.75" customHeight="1" outlineLevel="1">
      <c r="B310" s="4" t="s">
        <v>267</v>
      </c>
      <c r="C310" s="21">
        <f>C281</f>
        <v>2433.6</v>
      </c>
      <c r="D310" s="4" t="s">
        <v>9</v>
      </c>
    </row>
    <row r="311" ht="15.75" customHeight="1" outlineLevel="1">
      <c r="B311" s="4" t="s">
        <v>268</v>
      </c>
      <c r="C311" s="87">
        <f>C82</f>
        <v>0</v>
      </c>
      <c r="D311" s="22" t="s">
        <v>9</v>
      </c>
    </row>
    <row r="312" ht="15.75" customHeight="1" outlineLevel="1">
      <c r="C312" s="88">
        <f>C311/C310</f>
        <v>0</v>
      </c>
      <c r="D312" s="22" t="s">
        <v>17</v>
      </c>
    </row>
    <row r="313" ht="15.75" customHeight="1" outlineLevel="1">
      <c r="B313" s="20" t="s">
        <v>16</v>
      </c>
      <c r="C313" s="22">
        <f>C284</f>
        <v>10</v>
      </c>
      <c r="D313" s="22" t="s">
        <v>17</v>
      </c>
    </row>
    <row r="314" ht="15.75" customHeight="1" outlineLevel="1">
      <c r="B314" s="4" t="s">
        <v>212</v>
      </c>
      <c r="C314" s="79" t="str">
        <f>C313/C312</f>
        <v>#DIV/0!</v>
      </c>
      <c r="D314" s="22"/>
    </row>
    <row r="315" ht="15.75" customHeight="1" outlineLevel="1">
      <c r="B315" s="20" t="s">
        <v>213</v>
      </c>
      <c r="C315" s="22" t="str">
        <f>IF(C314&lt;0.8,"OK",IF(C314&lt;0.9,"Check","NOK"))</f>
        <v>#DIV/0!</v>
      </c>
      <c r="D315" s="22"/>
    </row>
    <row r="316" ht="15.75" customHeight="1"/>
    <row r="317" ht="15.75" customHeight="1">
      <c r="B317" s="74" t="s">
        <v>269</v>
      </c>
      <c r="C317" s="74"/>
      <c r="D317" s="74"/>
    </row>
    <row r="318" ht="15.75" customHeight="1" outlineLevel="1">
      <c r="B318" s="20" t="s">
        <v>41</v>
      </c>
      <c r="C318" s="21">
        <f>C22</f>
        <v>2</v>
      </c>
      <c r="D318" s="22" t="s">
        <v>19</v>
      </c>
    </row>
    <row r="319" ht="30.0" customHeight="1" outlineLevel="1">
      <c r="B319" s="20" t="s">
        <v>270</v>
      </c>
      <c r="C319" s="21">
        <f>C67</f>
        <v>400</v>
      </c>
      <c r="D319" s="22" t="s">
        <v>66</v>
      </c>
    </row>
    <row r="320" ht="15.75" customHeight="1" outlineLevel="1">
      <c r="C320" s="22">
        <f>C319/C318</f>
        <v>200</v>
      </c>
      <c r="D320" s="4" t="s">
        <v>145</v>
      </c>
    </row>
    <row r="321" ht="15.75" customHeight="1" outlineLevel="1">
      <c r="C321" s="22">
        <f>C320*60</f>
        <v>12000</v>
      </c>
      <c r="D321" s="4" t="s">
        <v>53</v>
      </c>
    </row>
    <row r="322" ht="15.75" customHeight="1" outlineLevel="1">
      <c r="B322" s="4" t="s">
        <v>271</v>
      </c>
      <c r="C322" s="56">
        <f>C118</f>
        <v>666.6666667</v>
      </c>
      <c r="D322" s="4" t="s">
        <v>53</v>
      </c>
    </row>
    <row r="323" ht="15.75" customHeight="1" outlineLevel="1">
      <c r="B323" s="4" t="s">
        <v>212</v>
      </c>
      <c r="C323" s="79">
        <f>C322/C321</f>
        <v>0.05555555556</v>
      </c>
    </row>
    <row r="324" ht="15.75" customHeight="1" outlineLevel="1">
      <c r="B324" s="20" t="s">
        <v>213</v>
      </c>
      <c r="C324" s="22" t="str">
        <f>IF(C323&lt;0.7,"OK",IF(C323&lt;0.8,"Check","NOK"))</f>
        <v>OK</v>
      </c>
    </row>
    <row r="325" ht="15.75" customHeight="1"/>
    <row r="326" ht="15.75" customHeight="1">
      <c r="B326" s="74" t="s">
        <v>272</v>
      </c>
      <c r="C326" s="74"/>
      <c r="D326" s="74"/>
    </row>
    <row r="327" ht="15.75" customHeight="1" outlineLevel="1">
      <c r="B327" s="4" t="s">
        <v>101</v>
      </c>
      <c r="C327" s="56">
        <f>C68</f>
        <v>5</v>
      </c>
      <c r="D327" s="4" t="s">
        <v>102</v>
      </c>
    </row>
    <row r="328" ht="15.75" customHeight="1" outlineLevel="1">
      <c r="C328" s="4">
        <f>C327*1000</f>
        <v>5000</v>
      </c>
      <c r="D328" s="4" t="s">
        <v>137</v>
      </c>
    </row>
    <row r="329" ht="28.5" customHeight="1" outlineLevel="1">
      <c r="B329" s="20" t="s">
        <v>273</v>
      </c>
      <c r="C329" s="56">
        <f>C103</f>
        <v>98.7654321</v>
      </c>
      <c r="D329" s="4" t="s">
        <v>137</v>
      </c>
    </row>
    <row r="330" ht="15.75" customHeight="1" outlineLevel="1">
      <c r="B330" s="4" t="s">
        <v>212</v>
      </c>
      <c r="C330" s="79">
        <f>C329/C328</f>
        <v>0.01975308642</v>
      </c>
    </row>
    <row r="331" ht="15.75" customHeight="1" outlineLevel="1">
      <c r="B331" s="20" t="s">
        <v>213</v>
      </c>
      <c r="C331" s="22" t="str">
        <f>IF(C330&lt;0.7,"OK",IF(C330&lt;0.8,"Check","NOK"))</f>
        <v>OK</v>
      </c>
    </row>
    <row r="332" ht="15.75" customHeight="1"/>
    <row r="333" ht="15.75" customHeight="1">
      <c r="B333" s="74" t="s">
        <v>274</v>
      </c>
      <c r="C333" s="74"/>
      <c r="D333" s="74"/>
    </row>
    <row r="334" ht="15.75" customHeight="1" outlineLevel="1">
      <c r="B334" s="4" t="s">
        <v>98</v>
      </c>
      <c r="C334" s="54">
        <f>C66</f>
        <v>3</v>
      </c>
      <c r="D334" s="4" t="s">
        <v>39</v>
      </c>
    </row>
    <row r="335" ht="15.75" customHeight="1" outlineLevel="1">
      <c r="B335" s="4" t="s">
        <v>275</v>
      </c>
      <c r="C335" s="59">
        <f>C184</f>
        <v>0.2685538536</v>
      </c>
      <c r="D335" s="4" t="s">
        <v>39</v>
      </c>
    </row>
    <row r="336" ht="15.75" customHeight="1" outlineLevel="1">
      <c r="B336" s="4" t="s">
        <v>212</v>
      </c>
      <c r="C336" s="79">
        <f>C335/C334</f>
        <v>0.08951795121</v>
      </c>
    </row>
    <row r="337" ht="15.75" customHeight="1" outlineLevel="1">
      <c r="B337" s="20" t="s">
        <v>213</v>
      </c>
      <c r="C337" s="22" t="str">
        <f>IF(C336&lt;0.7,"OK",IF(C336&lt;0.8,"Check","NOK"))</f>
        <v>OK</v>
      </c>
    </row>
    <row r="338" ht="15.75" customHeight="1"/>
    <row r="339" ht="15.75" customHeight="1">
      <c r="B339" s="74" t="s">
        <v>276</v>
      </c>
      <c r="C339" s="74"/>
      <c r="D339" s="74"/>
    </row>
    <row r="340" ht="15.75" customHeight="1" outlineLevel="1">
      <c r="B340" s="4" t="s">
        <v>277</v>
      </c>
      <c r="C340" s="54">
        <f>C14+C71</f>
        <v>1.727</v>
      </c>
      <c r="D340" s="4" t="s">
        <v>59</v>
      </c>
    </row>
    <row r="341" ht="15.75" customHeight="1" outlineLevel="1">
      <c r="B341" s="4" t="s">
        <v>278</v>
      </c>
      <c r="C341" s="56">
        <f>C340*9.8</f>
        <v>16.9246</v>
      </c>
      <c r="D341" s="4" t="s">
        <v>24</v>
      </c>
    </row>
    <row r="342" ht="15.75" customHeight="1" outlineLevel="1">
      <c r="B342" s="20" t="s">
        <v>279</v>
      </c>
      <c r="C342" s="56">
        <f>MIN(C64,C63)</f>
        <v>3000</v>
      </c>
      <c r="D342" s="4" t="s">
        <v>24</v>
      </c>
      <c r="G342" s="73"/>
    </row>
    <row r="343" ht="15.75" customHeight="1" outlineLevel="1">
      <c r="B343" s="20" t="s">
        <v>212</v>
      </c>
      <c r="C343" s="73">
        <f>C341/C342</f>
        <v>0.005641533333</v>
      </c>
      <c r="G343" s="73"/>
    </row>
    <row r="344" ht="15.75" customHeight="1" outlineLevel="1">
      <c r="B344" s="20" t="s">
        <v>213</v>
      </c>
      <c r="C344" s="22" t="str">
        <f>IF(C343&lt;0.8,"OK",IF(C343&lt;0.9,"Check","NOK"))</f>
        <v>OK</v>
      </c>
      <c r="G344" s="73"/>
    </row>
    <row r="345" ht="15.75" customHeight="1"/>
    <row r="346" ht="15.75" customHeight="1">
      <c r="B346" s="74" t="s">
        <v>280</v>
      </c>
      <c r="C346" s="74"/>
      <c r="D346" s="74"/>
    </row>
    <row r="347" ht="15.75" customHeight="1" outlineLevel="1">
      <c r="B347" s="20" t="s">
        <v>281</v>
      </c>
      <c r="C347" s="4">
        <f>C275</f>
        <v>312</v>
      </c>
      <c r="D347" s="4" t="s">
        <v>11</v>
      </c>
    </row>
    <row r="348" ht="15.75" customHeight="1" outlineLevel="1">
      <c r="B348" s="20" t="s">
        <v>282</v>
      </c>
      <c r="C348" s="4">
        <f>C6</f>
        <v>21</v>
      </c>
      <c r="D348" s="4" t="s">
        <v>121</v>
      </c>
    </row>
    <row r="349" ht="15.75" customHeight="1" outlineLevel="1">
      <c r="B349" s="4" t="s">
        <v>283</v>
      </c>
      <c r="C349" s="4">
        <f>C8</f>
        <v>7</v>
      </c>
      <c r="D349" s="4" t="s">
        <v>13</v>
      </c>
    </row>
    <row r="350" ht="15.75" customHeight="1" outlineLevel="1">
      <c r="B350" s="4" t="s">
        <v>284</v>
      </c>
      <c r="C350" s="4">
        <f>(C348*60*60)/C349</f>
        <v>10800</v>
      </c>
      <c r="D350" s="4" t="s">
        <v>285</v>
      </c>
    </row>
    <row r="351" ht="15.75" customHeight="1" outlineLevel="1">
      <c r="B351" s="4" t="s">
        <v>286</v>
      </c>
      <c r="C351" s="4">
        <f>C11</f>
        <v>15</v>
      </c>
      <c r="D351" s="4" t="s">
        <v>19</v>
      </c>
    </row>
    <row r="352" ht="15.75" customHeight="1" outlineLevel="1">
      <c r="B352" s="4" t="s">
        <v>287</v>
      </c>
      <c r="C352" s="4">
        <v>2.0</v>
      </c>
      <c r="D352" s="4" t="s">
        <v>288</v>
      </c>
    </row>
    <row r="353" ht="15.75" customHeight="1" outlineLevel="1">
      <c r="B353" s="4" t="s">
        <v>289</v>
      </c>
      <c r="C353" s="4">
        <f>C352*C351</f>
        <v>30</v>
      </c>
      <c r="D353" s="4" t="s">
        <v>19</v>
      </c>
    </row>
    <row r="354" ht="15.75" customHeight="1" outlineLevel="1">
      <c r="B354" s="4" t="s">
        <v>290</v>
      </c>
      <c r="C354" s="4">
        <f>C353*C350</f>
        <v>324000</v>
      </c>
      <c r="D354" s="4" t="s">
        <v>19</v>
      </c>
    </row>
    <row r="355" ht="15.75" customHeight="1" outlineLevel="1">
      <c r="C355" s="4">
        <f t="shared" ref="C355:C356" si="9">C354/1000</f>
        <v>324</v>
      </c>
      <c r="D355" s="4" t="s">
        <v>291</v>
      </c>
    </row>
    <row r="356" ht="15.75" customHeight="1" outlineLevel="1">
      <c r="C356" s="4">
        <f t="shared" si="9"/>
        <v>0.324</v>
      </c>
      <c r="D356" s="4" t="s">
        <v>62</v>
      </c>
    </row>
    <row r="357" ht="15.75" customHeight="1" outlineLevel="1">
      <c r="B357" s="4" t="s">
        <v>292</v>
      </c>
      <c r="C357" s="56">
        <f>C356*C347</f>
        <v>101.088</v>
      </c>
      <c r="D357" s="4" t="s">
        <v>62</v>
      </c>
    </row>
    <row r="358" ht="30.0" customHeight="1" outlineLevel="1">
      <c r="B358" s="20" t="s">
        <v>107</v>
      </c>
      <c r="C358" s="21">
        <f>C73</f>
        <v>30000</v>
      </c>
      <c r="D358" s="25" t="s">
        <v>108</v>
      </c>
    </row>
    <row r="359" ht="15.75" customHeight="1" outlineLevel="1">
      <c r="B359" s="4" t="s">
        <v>293</v>
      </c>
      <c r="C359" s="21">
        <f>C358/C357</f>
        <v>296.7711301</v>
      </c>
      <c r="D359" s="4" t="s">
        <v>17</v>
      </c>
    </row>
    <row r="360" ht="15.75" customHeight="1" outlineLevel="1">
      <c r="B360" s="4" t="s">
        <v>16</v>
      </c>
      <c r="C360" s="22">
        <f>C313</f>
        <v>10</v>
      </c>
      <c r="D360" s="4" t="s">
        <v>17</v>
      </c>
    </row>
    <row r="361" ht="15.75" customHeight="1" outlineLevel="1">
      <c r="B361" s="20" t="s">
        <v>212</v>
      </c>
      <c r="C361" s="79">
        <f>C360/C359</f>
        <v>0.033696</v>
      </c>
    </row>
    <row r="362" ht="15.75" customHeight="1" outlineLevel="1">
      <c r="B362" s="20" t="s">
        <v>213</v>
      </c>
      <c r="C362" s="22" t="str">
        <f>IF(C361&lt;0.8,"OK",IF(C361&lt;0.9,"Check","NOK"))</f>
        <v>OK</v>
      </c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1:A73"/>
    <mergeCell ref="A76:A82"/>
    <mergeCell ref="A84:A87"/>
    <mergeCell ref="A1:E1"/>
    <mergeCell ref="A4:A18"/>
    <mergeCell ref="A20:A23"/>
    <mergeCell ref="A25:A30"/>
    <mergeCell ref="A32:A36"/>
    <mergeCell ref="A42:A47"/>
    <mergeCell ref="A52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47.71"/>
    <col customWidth="1" min="3" max="3" width="10.57"/>
    <col customWidth="1" min="4" max="4" width="8.0"/>
    <col customWidth="1" min="5" max="5" width="10.29"/>
    <col customWidth="1" min="6" max="6" width="15.86"/>
    <col customWidth="1" min="7" max="7" width="49.86"/>
    <col customWidth="1" min="8" max="26" width="8.0"/>
  </cols>
  <sheetData>
    <row r="1">
      <c r="B1" s="20"/>
      <c r="G1" s="20"/>
    </row>
    <row r="2">
      <c r="B2" s="20"/>
      <c r="C2" s="89" t="s">
        <v>294</v>
      </c>
      <c r="D2" s="89" t="s">
        <v>295</v>
      </c>
      <c r="G2" s="20"/>
    </row>
    <row r="3">
      <c r="B3" s="90" t="s">
        <v>296</v>
      </c>
      <c r="C3" s="44" t="s">
        <v>297</v>
      </c>
      <c r="D3" s="44" t="s">
        <v>298</v>
      </c>
      <c r="E3" s="44" t="s">
        <v>212</v>
      </c>
      <c r="F3" s="44" t="s">
        <v>213</v>
      </c>
      <c r="G3" s="90" t="s">
        <v>299</v>
      </c>
    </row>
    <row r="4">
      <c r="A4" s="89" t="s">
        <v>300</v>
      </c>
      <c r="B4" s="91" t="s">
        <v>301</v>
      </c>
      <c r="C4" s="46">
        <f>IF(calc!C218&lt;0.1,"",calc!C218)</f>
        <v>3000</v>
      </c>
      <c r="D4" s="46">
        <f>calc!C219</f>
        <v>666.6666667</v>
      </c>
      <c r="E4" s="92">
        <f>calc!C220</f>
        <v>0.2222222222</v>
      </c>
      <c r="F4" s="7" t="str">
        <f>calc!C221</f>
        <v>OK</v>
      </c>
      <c r="G4" s="6"/>
    </row>
    <row r="5">
      <c r="B5" s="91" t="s">
        <v>302</v>
      </c>
      <c r="C5" s="45">
        <f>IF(calc!C224&lt;0.01,"",calc!C224)</f>
        <v>0.16</v>
      </c>
      <c r="D5" s="45">
        <f>calc!C225</f>
        <v>0.2868596429</v>
      </c>
      <c r="E5" s="92">
        <f>calc!C226</f>
        <v>1.792872768</v>
      </c>
      <c r="F5" s="7" t="str">
        <f>calc!C227</f>
        <v>Check Duty cycle</v>
      </c>
      <c r="G5" s="6"/>
    </row>
    <row r="6">
      <c r="B6" s="6" t="s">
        <v>303</v>
      </c>
      <c r="C6" s="92">
        <v>0.2</v>
      </c>
      <c r="D6" s="92">
        <f>calc!C242</f>
        <v>0.7600542375</v>
      </c>
      <c r="E6" s="92">
        <f>D6/C6</f>
        <v>3.800271187</v>
      </c>
      <c r="F6" s="7" t="str">
        <f>calc!C245</f>
        <v>Peak Torque NOK</v>
      </c>
      <c r="G6" s="6"/>
    </row>
    <row r="7">
      <c r="B7" s="6" t="s">
        <v>304</v>
      </c>
      <c r="C7" s="45" t="str">
        <f>IF(calc!C263&lt;0.01,"",calc!C263)</f>
        <v/>
      </c>
      <c r="D7" s="45">
        <f>calc!C262</f>
        <v>0.0053872675</v>
      </c>
      <c r="E7" s="92" t="str">
        <f>calc!C264</f>
        <v>#DIV/0!</v>
      </c>
      <c r="F7" s="7" t="str">
        <f>calc!C265</f>
        <v>#DIV/0!</v>
      </c>
      <c r="G7" s="6"/>
    </row>
    <row r="8">
      <c r="B8" s="6" t="s">
        <v>305</v>
      </c>
      <c r="C8" s="45">
        <f>calc!C269</f>
        <v>0.16</v>
      </c>
      <c r="D8" s="45">
        <f>calc!C268</f>
        <v>0.0053872675</v>
      </c>
      <c r="E8" s="92">
        <f>calc!C270</f>
        <v>0.03367042187</v>
      </c>
      <c r="F8" s="7" t="str">
        <f>calc!C271</f>
        <v>OK</v>
      </c>
      <c r="G8" s="6"/>
    </row>
    <row r="9">
      <c r="B9" s="91" t="s">
        <v>306</v>
      </c>
      <c r="C9" s="46">
        <f>calc!C253</f>
        <v>7</v>
      </c>
      <c r="D9" s="46">
        <f>calc!C252</f>
        <v>1.139510145</v>
      </c>
      <c r="E9" s="92">
        <f>calc!C254</f>
        <v>0.1627871635</v>
      </c>
      <c r="F9" s="7" t="str">
        <f>calc!C255</f>
        <v>OK</v>
      </c>
      <c r="G9" s="6"/>
    </row>
    <row r="10">
      <c r="B10" s="6" t="s">
        <v>307</v>
      </c>
      <c r="C10" s="46">
        <f>calc!C283</f>
        <v>12.32741617</v>
      </c>
      <c r="D10" s="46">
        <f>calc!C284</f>
        <v>10</v>
      </c>
      <c r="E10" s="92">
        <f>calc!C285</f>
        <v>0.8112</v>
      </c>
      <c r="F10" s="7" t="str">
        <f>calc!C286</f>
        <v>Check</v>
      </c>
      <c r="G10" s="6" t="s">
        <v>308</v>
      </c>
    </row>
    <row r="11">
      <c r="B11" s="6" t="s">
        <v>309</v>
      </c>
      <c r="C11" s="46" t="str">
        <f>IF(calc!C292&lt;0.01,"",calc!C292&lt;0.01)</f>
        <v/>
      </c>
      <c r="D11" s="46">
        <f>calc!C293</f>
        <v>10</v>
      </c>
      <c r="E11" s="92" t="str">
        <f>calc!C294</f>
        <v>#DIV/0!</v>
      </c>
      <c r="F11" s="7" t="str">
        <f>calc!C295</f>
        <v>#DIV/0!</v>
      </c>
      <c r="G11" s="6"/>
    </row>
    <row r="12">
      <c r="A12" s="89" t="s">
        <v>310</v>
      </c>
      <c r="B12" s="91" t="s">
        <v>311</v>
      </c>
      <c r="C12" s="46" t="str">
        <f>IF(calc!C298&lt;0.01,"",calc!C298)</f>
        <v/>
      </c>
      <c r="D12" s="46">
        <f>calc!C299</f>
        <v>666.6666667</v>
      </c>
      <c r="E12" s="92" t="str">
        <f>calc!C300</f>
        <v>#DIV/0!</v>
      </c>
      <c r="F12" s="7" t="str">
        <f>calc!C301</f>
        <v>#DIV/0!</v>
      </c>
      <c r="G12" s="6"/>
    </row>
    <row r="13">
      <c r="B13" s="91" t="s">
        <v>312</v>
      </c>
      <c r="C13" s="45" t="str">
        <f>IF(calc!C304&lt;0.01,"",calc!C304)</f>
        <v/>
      </c>
      <c r="D13" s="45">
        <f>calc!C305</f>
        <v>0.2685538536</v>
      </c>
      <c r="E13" s="92" t="str">
        <f>calc!C306</f>
        <v>#DIV/0!</v>
      </c>
      <c r="F13" s="7" t="str">
        <f>calc!C307</f>
        <v>#DIV/0!</v>
      </c>
      <c r="G13" s="6"/>
    </row>
    <row r="14">
      <c r="B14" s="6" t="s">
        <v>313</v>
      </c>
      <c r="C14" s="46" t="str">
        <f>IF(calc!C312&lt;0.01,"",calc!C312)</f>
        <v/>
      </c>
      <c r="D14" s="46">
        <f>calc!C313</f>
        <v>10</v>
      </c>
      <c r="E14" s="92" t="str">
        <f>calc!C314</f>
        <v>#DIV/0!</v>
      </c>
      <c r="F14" s="7" t="str">
        <f>calc!C315</f>
        <v>#DIV/0!</v>
      </c>
      <c r="G14" s="6"/>
    </row>
    <row r="15">
      <c r="A15" s="89" t="s">
        <v>314</v>
      </c>
      <c r="B15" s="91" t="s">
        <v>315</v>
      </c>
      <c r="C15" s="46">
        <f>calc!C321</f>
        <v>12000</v>
      </c>
      <c r="D15" s="46">
        <f>calc!C322</f>
        <v>666.6666667</v>
      </c>
      <c r="E15" s="92">
        <f>calc!C323</f>
        <v>0.05555555556</v>
      </c>
      <c r="F15" s="7" t="str">
        <f>calc!C324</f>
        <v>OK</v>
      </c>
      <c r="G15" s="15" t="s">
        <v>316</v>
      </c>
    </row>
    <row r="16">
      <c r="B16" s="6" t="s">
        <v>317</v>
      </c>
      <c r="C16" s="46">
        <f>calc!C328</f>
        <v>5000</v>
      </c>
      <c r="D16" s="46">
        <f>calc!C329</f>
        <v>98.7654321</v>
      </c>
      <c r="E16" s="92">
        <f>calc!C330</f>
        <v>0.01975308642</v>
      </c>
      <c r="F16" s="7" t="str">
        <f>calc!C331</f>
        <v>OK</v>
      </c>
      <c r="G16" s="15" t="s">
        <v>316</v>
      </c>
    </row>
    <row r="17">
      <c r="B17" s="91" t="s">
        <v>318</v>
      </c>
      <c r="C17" s="45">
        <f>calc!C334</f>
        <v>3</v>
      </c>
      <c r="D17" s="45">
        <f>calc!C335</f>
        <v>0.2685538536</v>
      </c>
      <c r="E17" s="92">
        <f>calc!C336</f>
        <v>0.08951795121</v>
      </c>
      <c r="F17" s="7" t="str">
        <f>calc!C337</f>
        <v>OK</v>
      </c>
      <c r="G17" s="15" t="s">
        <v>316</v>
      </c>
    </row>
    <row r="18">
      <c r="B18" s="6" t="s">
        <v>319</v>
      </c>
      <c r="C18" s="46">
        <f>calc!C342</f>
        <v>3000</v>
      </c>
      <c r="D18" s="46">
        <f>calc!C341</f>
        <v>16.9246</v>
      </c>
      <c r="E18" s="92">
        <f>calc!C343</f>
        <v>0.005641533333</v>
      </c>
      <c r="F18" s="7" t="str">
        <f>calc!C344</f>
        <v>OK</v>
      </c>
      <c r="G18" s="15" t="s">
        <v>316</v>
      </c>
    </row>
    <row r="19">
      <c r="B19" s="6" t="s">
        <v>320</v>
      </c>
      <c r="C19" s="46">
        <f>calc!C359</f>
        <v>296.7711301</v>
      </c>
      <c r="D19" s="46">
        <f>calc!C360</f>
        <v>10</v>
      </c>
      <c r="E19" s="92">
        <f>calc!C361</f>
        <v>0.033696</v>
      </c>
      <c r="F19" s="7" t="str">
        <f>calc!C362</f>
        <v>OK</v>
      </c>
      <c r="G19" s="15" t="s">
        <v>316</v>
      </c>
    </row>
    <row r="20">
      <c r="B20" s="91" t="s">
        <v>321</v>
      </c>
      <c r="C20" s="46">
        <f>calc!C208</f>
        <v>10.32502775</v>
      </c>
      <c r="D20" s="46">
        <f>calc!C209</f>
        <v>10</v>
      </c>
      <c r="E20" s="92">
        <f>calc!C210</f>
        <v>1.032502775</v>
      </c>
      <c r="F20" s="93" t="str">
        <f>calc!C211</f>
        <v>NOK</v>
      </c>
      <c r="G20" s="6"/>
    </row>
    <row r="21" ht="15.75" customHeight="1">
      <c r="B21" s="6" t="s">
        <v>322</v>
      </c>
      <c r="C21" s="46">
        <f>MIN(C19,C14,C11,C10)</f>
        <v>12.32741617</v>
      </c>
      <c r="D21" s="46">
        <f>MAX(D19,D14,D11,D10)</f>
        <v>10</v>
      </c>
      <c r="E21" s="92">
        <f>D21/C21</f>
        <v>0.8112</v>
      </c>
      <c r="F21" s="93" t="str">
        <f>IF(E21&lt;0.8,"OK",IF(E21&lt;0.9,"Check","NOK"))</f>
        <v>Check</v>
      </c>
      <c r="G21" s="6"/>
    </row>
    <row r="22" ht="15.75" customHeight="1">
      <c r="B22" s="20"/>
      <c r="F22" s="94"/>
      <c r="G22" s="20"/>
    </row>
    <row r="23" ht="15.75" customHeight="1">
      <c r="B23" s="20"/>
      <c r="F23" s="94"/>
      <c r="G23" s="20"/>
    </row>
    <row r="24" ht="15.75" customHeight="1">
      <c r="B24" s="20"/>
      <c r="F24" s="94"/>
      <c r="G24" s="20"/>
    </row>
    <row r="25" ht="15.75" customHeight="1">
      <c r="B25" s="20"/>
      <c r="F25" s="94"/>
      <c r="G25" s="20"/>
    </row>
    <row r="26" ht="15.75" customHeight="1">
      <c r="B26" s="20"/>
      <c r="F26" s="94"/>
      <c r="G26" s="20"/>
    </row>
    <row r="27" ht="15.75" customHeight="1">
      <c r="B27" s="20"/>
      <c r="F27" s="94"/>
      <c r="G27" s="20"/>
    </row>
    <row r="28" ht="15.75" customHeight="1">
      <c r="B28" s="20"/>
      <c r="F28" s="94"/>
      <c r="G28" s="20"/>
    </row>
    <row r="29" ht="15.75" customHeight="1">
      <c r="B29" s="20"/>
      <c r="F29" s="94"/>
      <c r="G29" s="20"/>
    </row>
    <row r="30" ht="15.75" customHeight="1">
      <c r="B30" s="20"/>
      <c r="F30" s="94"/>
      <c r="G30" s="20"/>
    </row>
    <row r="31" ht="15.75" customHeight="1">
      <c r="B31" s="20"/>
      <c r="F31" s="94"/>
      <c r="G31" s="20"/>
    </row>
    <row r="32" ht="15.75" customHeight="1">
      <c r="B32" s="20"/>
      <c r="G32" s="20"/>
    </row>
    <row r="33" ht="15.75" customHeight="1">
      <c r="B33" s="20"/>
      <c r="G33" s="20"/>
    </row>
    <row r="34" ht="15.75" customHeight="1">
      <c r="B34" s="20"/>
      <c r="G34" s="20"/>
    </row>
    <row r="35" ht="15.75" customHeight="1">
      <c r="B35" s="20"/>
      <c r="G35" s="20"/>
    </row>
    <row r="36" ht="15.75" customHeight="1">
      <c r="B36" s="20"/>
      <c r="G36" s="20"/>
    </row>
    <row r="37" ht="15.75" customHeight="1">
      <c r="B37" s="20"/>
      <c r="G37" s="20"/>
    </row>
    <row r="38" ht="15.75" customHeight="1">
      <c r="B38" s="20"/>
      <c r="G38" s="20"/>
    </row>
    <row r="39" ht="15.75" customHeight="1">
      <c r="B39" s="20"/>
      <c r="G39" s="20"/>
    </row>
    <row r="40" ht="15.75" customHeight="1">
      <c r="B40" s="20"/>
      <c r="G40" s="20"/>
    </row>
    <row r="41" ht="15.75" customHeight="1">
      <c r="B41" s="20"/>
      <c r="G41" s="20"/>
    </row>
    <row r="42" ht="15.75" customHeight="1">
      <c r="B42" s="20"/>
      <c r="G42" s="20"/>
    </row>
    <row r="43" ht="15.75" customHeight="1">
      <c r="B43" s="20"/>
      <c r="G43" s="20"/>
    </row>
    <row r="44" ht="15.75" customHeight="1">
      <c r="B44" s="20"/>
      <c r="G44" s="20"/>
    </row>
    <row r="45" ht="15.75" customHeight="1">
      <c r="B45" s="20"/>
      <c r="G45" s="20"/>
    </row>
    <row r="46" ht="15.75" customHeight="1">
      <c r="B46" s="20"/>
      <c r="G46" s="20"/>
    </row>
    <row r="47" ht="15.75" customHeight="1">
      <c r="B47" s="20"/>
      <c r="G47" s="20"/>
    </row>
    <row r="48" ht="15.75" customHeight="1">
      <c r="B48" s="20"/>
      <c r="G48" s="20"/>
    </row>
    <row r="49" ht="15.75" customHeight="1">
      <c r="B49" s="20"/>
      <c r="G49" s="20"/>
    </row>
    <row r="50" ht="15.75" customHeight="1">
      <c r="B50" s="20"/>
      <c r="G50" s="20"/>
    </row>
    <row r="51" ht="15.75" customHeight="1">
      <c r="B51" s="20"/>
      <c r="G51" s="20"/>
    </row>
    <row r="52" ht="15.75" customHeight="1">
      <c r="B52" s="20"/>
      <c r="G52" s="20"/>
    </row>
    <row r="53" ht="15.75" customHeight="1">
      <c r="B53" s="20"/>
      <c r="G53" s="20"/>
    </row>
    <row r="54" ht="15.75" customHeight="1">
      <c r="B54" s="20"/>
      <c r="G54" s="20"/>
    </row>
    <row r="55" ht="15.75" customHeight="1">
      <c r="B55" s="20"/>
      <c r="G55" s="20"/>
    </row>
    <row r="56" ht="15.75" customHeight="1">
      <c r="B56" s="20"/>
      <c r="G56" s="20"/>
    </row>
    <row r="57" ht="15.75" customHeight="1">
      <c r="B57" s="20"/>
      <c r="G57" s="20"/>
    </row>
    <row r="58" ht="15.75" customHeight="1">
      <c r="B58" s="20"/>
      <c r="G58" s="20"/>
    </row>
    <row r="59" ht="15.75" customHeight="1">
      <c r="B59" s="20"/>
      <c r="G59" s="20"/>
    </row>
    <row r="60" ht="15.75" customHeight="1">
      <c r="B60" s="20"/>
      <c r="G60" s="20"/>
    </row>
    <row r="61" ht="15.75" customHeight="1">
      <c r="B61" s="20"/>
      <c r="G61" s="20"/>
    </row>
    <row r="62" ht="15.75" customHeight="1">
      <c r="B62" s="20"/>
      <c r="G62" s="20"/>
    </row>
    <row r="63" ht="15.75" customHeight="1">
      <c r="B63" s="20"/>
      <c r="G63" s="20"/>
    </row>
    <row r="64" ht="15.75" customHeight="1">
      <c r="B64" s="20"/>
      <c r="G64" s="20"/>
    </row>
    <row r="65" ht="15.75" customHeight="1">
      <c r="B65" s="20"/>
      <c r="G65" s="20"/>
    </row>
    <row r="66" ht="15.75" customHeight="1">
      <c r="B66" s="20"/>
      <c r="G66" s="20"/>
    </row>
    <row r="67" ht="15.75" customHeight="1">
      <c r="B67" s="20"/>
      <c r="G67" s="20"/>
    </row>
    <row r="68" ht="15.75" customHeight="1">
      <c r="B68" s="20"/>
      <c r="G68" s="20"/>
    </row>
    <row r="69" ht="15.75" customHeight="1">
      <c r="B69" s="20"/>
      <c r="G69" s="20"/>
    </row>
    <row r="70" ht="15.75" customHeight="1">
      <c r="B70" s="20"/>
      <c r="G70" s="20"/>
    </row>
    <row r="71" ht="15.75" customHeight="1">
      <c r="B71" s="20"/>
      <c r="G71" s="20"/>
    </row>
    <row r="72" ht="15.75" customHeight="1">
      <c r="B72" s="20"/>
      <c r="G72" s="20"/>
    </row>
    <row r="73" ht="15.75" customHeight="1">
      <c r="B73" s="20"/>
      <c r="G73" s="20"/>
    </row>
    <row r="74" ht="15.75" customHeight="1">
      <c r="B74" s="20"/>
      <c r="G74" s="20"/>
    </row>
    <row r="75" ht="15.75" customHeight="1">
      <c r="B75" s="20"/>
      <c r="G75" s="20"/>
    </row>
    <row r="76" ht="15.75" customHeight="1">
      <c r="B76" s="20"/>
      <c r="G76" s="20"/>
    </row>
    <row r="77" ht="15.75" customHeight="1">
      <c r="B77" s="20"/>
      <c r="G77" s="20"/>
    </row>
    <row r="78" ht="15.75" customHeight="1">
      <c r="B78" s="20"/>
      <c r="G78" s="20"/>
    </row>
    <row r="79" ht="15.75" customHeight="1">
      <c r="B79" s="20"/>
      <c r="G79" s="20"/>
    </row>
    <row r="80" ht="15.75" customHeight="1">
      <c r="B80" s="20"/>
      <c r="G80" s="20"/>
    </row>
    <row r="81" ht="15.75" customHeight="1">
      <c r="B81" s="20"/>
      <c r="G81" s="20"/>
    </row>
    <row r="82" ht="15.75" customHeight="1">
      <c r="B82" s="20"/>
      <c r="G82" s="20"/>
    </row>
    <row r="83" ht="15.75" customHeight="1">
      <c r="B83" s="20"/>
      <c r="G83" s="20"/>
    </row>
    <row r="84" ht="15.75" customHeight="1">
      <c r="B84" s="20"/>
      <c r="G84" s="20"/>
    </row>
    <row r="85" ht="15.75" customHeight="1">
      <c r="B85" s="20"/>
      <c r="G85" s="20"/>
    </row>
    <row r="86" ht="15.75" customHeight="1">
      <c r="B86" s="20"/>
      <c r="G86" s="20"/>
    </row>
    <row r="87" ht="15.75" customHeight="1">
      <c r="B87" s="20"/>
      <c r="G87" s="20"/>
    </row>
    <row r="88" ht="15.75" customHeight="1">
      <c r="B88" s="20"/>
      <c r="G88" s="20"/>
    </row>
    <row r="89" ht="15.75" customHeight="1">
      <c r="B89" s="20"/>
      <c r="G89" s="20"/>
    </row>
    <row r="90" ht="15.75" customHeight="1">
      <c r="B90" s="20"/>
      <c r="G90" s="20"/>
    </row>
    <row r="91" ht="15.75" customHeight="1">
      <c r="B91" s="20"/>
      <c r="G91" s="20"/>
    </row>
    <row r="92" ht="15.75" customHeight="1">
      <c r="B92" s="20"/>
      <c r="G92" s="20"/>
    </row>
    <row r="93" ht="15.75" customHeight="1">
      <c r="B93" s="20"/>
      <c r="G93" s="20"/>
    </row>
    <row r="94" ht="15.75" customHeight="1">
      <c r="B94" s="20"/>
      <c r="G94" s="20"/>
    </row>
    <row r="95" ht="15.75" customHeight="1">
      <c r="B95" s="20"/>
      <c r="G95" s="20"/>
    </row>
    <row r="96" ht="15.75" customHeight="1">
      <c r="B96" s="20"/>
      <c r="G96" s="20"/>
    </row>
    <row r="97" ht="15.75" customHeight="1">
      <c r="B97" s="20"/>
      <c r="G97" s="20"/>
    </row>
    <row r="98" ht="15.75" customHeight="1">
      <c r="B98" s="20"/>
      <c r="G98" s="20"/>
    </row>
    <row r="99" ht="15.75" customHeight="1">
      <c r="B99" s="20"/>
      <c r="G99" s="20"/>
    </row>
    <row r="100" ht="15.75" customHeight="1">
      <c r="B100" s="20"/>
      <c r="G100" s="20"/>
    </row>
    <row r="101" ht="15.75" customHeight="1">
      <c r="B101" s="20"/>
      <c r="G101" s="20"/>
    </row>
    <row r="102" ht="15.75" customHeight="1">
      <c r="B102" s="20"/>
      <c r="G102" s="20"/>
    </row>
    <row r="103" ht="15.75" customHeight="1">
      <c r="B103" s="20"/>
      <c r="G103" s="20"/>
    </row>
    <row r="104" ht="15.75" customHeight="1">
      <c r="B104" s="20"/>
      <c r="G104" s="20"/>
    </row>
    <row r="105" ht="15.75" customHeight="1">
      <c r="B105" s="20"/>
      <c r="G105" s="20"/>
    </row>
    <row r="106" ht="15.75" customHeight="1">
      <c r="B106" s="20"/>
      <c r="G106" s="20"/>
    </row>
    <row r="107" ht="15.75" customHeight="1">
      <c r="B107" s="20"/>
      <c r="G107" s="20"/>
    </row>
    <row r="108" ht="15.75" customHeight="1">
      <c r="B108" s="20"/>
      <c r="G108" s="20"/>
    </row>
    <row r="109" ht="15.75" customHeight="1">
      <c r="B109" s="20"/>
      <c r="G109" s="20"/>
    </row>
    <row r="110" ht="15.75" customHeight="1">
      <c r="B110" s="20"/>
      <c r="G110" s="20"/>
    </row>
    <row r="111" ht="15.75" customHeight="1">
      <c r="B111" s="20"/>
      <c r="G111" s="20"/>
    </row>
    <row r="112" ht="15.75" customHeight="1">
      <c r="B112" s="20"/>
      <c r="G112" s="20"/>
    </row>
    <row r="113" ht="15.75" customHeight="1">
      <c r="B113" s="20"/>
      <c r="G113" s="20"/>
    </row>
    <row r="114" ht="15.75" customHeight="1">
      <c r="B114" s="20"/>
      <c r="G114" s="20"/>
    </row>
    <row r="115" ht="15.75" customHeight="1">
      <c r="B115" s="20"/>
      <c r="G115" s="20"/>
    </row>
    <row r="116" ht="15.75" customHeight="1">
      <c r="B116" s="20"/>
      <c r="G116" s="20"/>
    </row>
    <row r="117" ht="15.75" customHeight="1">
      <c r="B117" s="20"/>
      <c r="G117" s="20"/>
    </row>
    <row r="118" ht="15.75" customHeight="1">
      <c r="B118" s="20"/>
      <c r="G118" s="20"/>
    </row>
    <row r="119" ht="15.75" customHeight="1">
      <c r="B119" s="20"/>
      <c r="G119" s="20"/>
    </row>
    <row r="120" ht="15.75" customHeight="1">
      <c r="B120" s="20"/>
      <c r="G120" s="20"/>
    </row>
    <row r="121" ht="15.75" customHeight="1">
      <c r="B121" s="20"/>
      <c r="G121" s="20"/>
    </row>
    <row r="122" ht="15.75" customHeight="1">
      <c r="B122" s="20"/>
      <c r="G122" s="20"/>
    </row>
    <row r="123" ht="15.75" customHeight="1">
      <c r="B123" s="20"/>
      <c r="G123" s="20"/>
    </row>
    <row r="124" ht="15.75" customHeight="1">
      <c r="B124" s="20"/>
      <c r="G124" s="20"/>
    </row>
    <row r="125" ht="15.75" customHeight="1">
      <c r="B125" s="20"/>
      <c r="G125" s="20"/>
    </row>
    <row r="126" ht="15.75" customHeight="1">
      <c r="B126" s="20"/>
      <c r="G126" s="20"/>
    </row>
    <row r="127" ht="15.75" customHeight="1">
      <c r="B127" s="20"/>
      <c r="G127" s="20"/>
    </row>
    <row r="128" ht="15.75" customHeight="1">
      <c r="B128" s="20"/>
      <c r="G128" s="20"/>
    </row>
    <row r="129" ht="15.75" customHeight="1">
      <c r="B129" s="20"/>
      <c r="G129" s="20"/>
    </row>
    <row r="130" ht="15.75" customHeight="1">
      <c r="B130" s="20"/>
      <c r="G130" s="20"/>
    </row>
    <row r="131" ht="15.75" customHeight="1">
      <c r="B131" s="20"/>
      <c r="G131" s="20"/>
    </row>
    <row r="132" ht="15.75" customHeight="1">
      <c r="B132" s="20"/>
      <c r="G132" s="20"/>
    </row>
    <row r="133" ht="15.75" customHeight="1">
      <c r="B133" s="20"/>
      <c r="G133" s="20"/>
    </row>
    <row r="134" ht="15.75" customHeight="1">
      <c r="B134" s="20"/>
      <c r="G134" s="20"/>
    </row>
    <row r="135" ht="15.75" customHeight="1">
      <c r="B135" s="20"/>
      <c r="G135" s="20"/>
    </row>
    <row r="136" ht="15.75" customHeight="1">
      <c r="B136" s="20"/>
      <c r="G136" s="20"/>
    </row>
    <row r="137" ht="15.75" customHeight="1">
      <c r="B137" s="20"/>
      <c r="G137" s="20"/>
    </row>
    <row r="138" ht="15.75" customHeight="1">
      <c r="B138" s="20"/>
      <c r="G138" s="20"/>
    </row>
    <row r="139" ht="15.75" customHeight="1">
      <c r="B139" s="20"/>
      <c r="G139" s="20"/>
    </row>
    <row r="140" ht="15.75" customHeight="1">
      <c r="B140" s="20"/>
      <c r="G140" s="20"/>
    </row>
    <row r="141" ht="15.75" customHeight="1">
      <c r="B141" s="20"/>
      <c r="G141" s="20"/>
    </row>
    <row r="142" ht="15.75" customHeight="1">
      <c r="B142" s="20"/>
      <c r="G142" s="20"/>
    </row>
    <row r="143" ht="15.75" customHeight="1">
      <c r="B143" s="20"/>
      <c r="G143" s="20"/>
    </row>
    <row r="144" ht="15.75" customHeight="1">
      <c r="B144" s="20"/>
      <c r="G144" s="20"/>
    </row>
    <row r="145" ht="15.75" customHeight="1">
      <c r="B145" s="20"/>
      <c r="G145" s="20"/>
    </row>
    <row r="146" ht="15.75" customHeight="1">
      <c r="B146" s="20"/>
      <c r="G146" s="20"/>
    </row>
    <row r="147" ht="15.75" customHeight="1">
      <c r="B147" s="20"/>
      <c r="G147" s="20"/>
    </row>
    <row r="148" ht="15.75" customHeight="1">
      <c r="B148" s="20"/>
      <c r="G148" s="20"/>
    </row>
    <row r="149" ht="15.75" customHeight="1">
      <c r="B149" s="20"/>
      <c r="G149" s="20"/>
    </row>
    <row r="150" ht="15.75" customHeight="1">
      <c r="B150" s="20"/>
      <c r="G150" s="20"/>
    </row>
    <row r="151" ht="15.75" customHeight="1">
      <c r="B151" s="20"/>
      <c r="G151" s="20"/>
    </row>
    <row r="152" ht="15.75" customHeight="1">
      <c r="B152" s="20"/>
      <c r="G152" s="20"/>
    </row>
    <row r="153" ht="15.75" customHeight="1">
      <c r="B153" s="20"/>
      <c r="G153" s="20"/>
    </row>
    <row r="154" ht="15.75" customHeight="1">
      <c r="B154" s="20"/>
      <c r="G154" s="20"/>
    </row>
    <row r="155" ht="15.75" customHeight="1">
      <c r="B155" s="20"/>
      <c r="G155" s="20"/>
    </row>
    <row r="156" ht="15.75" customHeight="1">
      <c r="B156" s="20"/>
      <c r="G156" s="20"/>
    </row>
    <row r="157" ht="15.75" customHeight="1">
      <c r="B157" s="20"/>
      <c r="G157" s="20"/>
    </row>
    <row r="158" ht="15.75" customHeight="1">
      <c r="B158" s="20"/>
      <c r="G158" s="20"/>
    </row>
    <row r="159" ht="15.75" customHeight="1">
      <c r="B159" s="20"/>
      <c r="G159" s="20"/>
    </row>
    <row r="160" ht="15.75" customHeight="1">
      <c r="B160" s="20"/>
      <c r="G160" s="20"/>
    </row>
    <row r="161" ht="15.75" customHeight="1">
      <c r="B161" s="20"/>
      <c r="G161" s="20"/>
    </row>
    <row r="162" ht="15.75" customHeight="1">
      <c r="B162" s="20"/>
      <c r="G162" s="20"/>
    </row>
    <row r="163" ht="15.75" customHeight="1">
      <c r="B163" s="20"/>
      <c r="G163" s="20"/>
    </row>
    <row r="164" ht="15.75" customHeight="1">
      <c r="B164" s="20"/>
      <c r="G164" s="20"/>
    </row>
    <row r="165" ht="15.75" customHeight="1">
      <c r="B165" s="20"/>
      <c r="G165" s="20"/>
    </row>
    <row r="166" ht="15.75" customHeight="1">
      <c r="B166" s="20"/>
      <c r="G166" s="20"/>
    </row>
    <row r="167" ht="15.75" customHeight="1">
      <c r="B167" s="20"/>
      <c r="G167" s="20"/>
    </row>
    <row r="168" ht="15.75" customHeight="1">
      <c r="B168" s="20"/>
      <c r="G168" s="20"/>
    </row>
    <row r="169" ht="15.75" customHeight="1">
      <c r="B169" s="20"/>
      <c r="G169" s="20"/>
    </row>
    <row r="170" ht="15.75" customHeight="1">
      <c r="B170" s="20"/>
      <c r="G170" s="20"/>
    </row>
    <row r="171" ht="15.75" customHeight="1">
      <c r="B171" s="20"/>
      <c r="G171" s="20"/>
    </row>
    <row r="172" ht="15.75" customHeight="1">
      <c r="B172" s="20"/>
      <c r="G172" s="20"/>
    </row>
    <row r="173" ht="15.75" customHeight="1">
      <c r="B173" s="20"/>
      <c r="G173" s="20"/>
    </row>
    <row r="174" ht="15.75" customHeight="1">
      <c r="B174" s="20"/>
      <c r="G174" s="20"/>
    </row>
    <row r="175" ht="15.75" customHeight="1">
      <c r="B175" s="20"/>
      <c r="G175" s="20"/>
    </row>
    <row r="176" ht="15.75" customHeight="1">
      <c r="B176" s="20"/>
      <c r="G176" s="20"/>
    </row>
    <row r="177" ht="15.75" customHeight="1">
      <c r="B177" s="20"/>
      <c r="G177" s="20"/>
    </row>
    <row r="178" ht="15.75" customHeight="1">
      <c r="B178" s="20"/>
      <c r="G178" s="20"/>
    </row>
    <row r="179" ht="15.75" customHeight="1">
      <c r="B179" s="20"/>
      <c r="G179" s="20"/>
    </row>
    <row r="180" ht="15.75" customHeight="1">
      <c r="B180" s="20"/>
      <c r="G180" s="20"/>
    </row>
    <row r="181" ht="15.75" customHeight="1">
      <c r="B181" s="20"/>
      <c r="G181" s="20"/>
    </row>
    <row r="182" ht="15.75" customHeight="1">
      <c r="B182" s="20"/>
      <c r="G182" s="20"/>
    </row>
    <row r="183" ht="15.75" customHeight="1">
      <c r="B183" s="20"/>
      <c r="G183" s="20"/>
    </row>
    <row r="184" ht="15.75" customHeight="1">
      <c r="B184" s="20"/>
      <c r="G184" s="20"/>
    </row>
    <row r="185" ht="15.75" customHeight="1">
      <c r="B185" s="20"/>
      <c r="G185" s="20"/>
    </row>
    <row r="186" ht="15.75" customHeight="1">
      <c r="B186" s="20"/>
      <c r="G186" s="20"/>
    </row>
    <row r="187" ht="15.75" customHeight="1">
      <c r="B187" s="20"/>
      <c r="G187" s="20"/>
    </row>
    <row r="188" ht="15.75" customHeight="1">
      <c r="B188" s="20"/>
      <c r="G188" s="20"/>
    </row>
    <row r="189" ht="15.75" customHeight="1">
      <c r="B189" s="20"/>
      <c r="G189" s="20"/>
    </row>
    <row r="190" ht="15.75" customHeight="1">
      <c r="B190" s="20"/>
      <c r="G190" s="20"/>
    </row>
    <row r="191" ht="15.75" customHeight="1">
      <c r="B191" s="20"/>
      <c r="G191" s="20"/>
    </row>
    <row r="192" ht="15.75" customHeight="1">
      <c r="B192" s="20"/>
      <c r="G192" s="20"/>
    </row>
    <row r="193" ht="15.75" customHeight="1">
      <c r="B193" s="20"/>
      <c r="G193" s="20"/>
    </row>
    <row r="194" ht="15.75" customHeight="1">
      <c r="B194" s="20"/>
      <c r="G194" s="20"/>
    </row>
    <row r="195" ht="15.75" customHeight="1">
      <c r="B195" s="20"/>
      <c r="G195" s="20"/>
    </row>
    <row r="196" ht="15.75" customHeight="1">
      <c r="B196" s="20"/>
      <c r="G196" s="20"/>
    </row>
    <row r="197" ht="15.75" customHeight="1">
      <c r="B197" s="20"/>
      <c r="G197" s="20"/>
    </row>
    <row r="198" ht="15.75" customHeight="1">
      <c r="B198" s="20"/>
      <c r="G198" s="20"/>
    </row>
    <row r="199" ht="15.75" customHeight="1">
      <c r="B199" s="20"/>
      <c r="G199" s="20"/>
    </row>
    <row r="200" ht="15.75" customHeight="1">
      <c r="B200" s="20"/>
      <c r="G200" s="20"/>
    </row>
    <row r="201" ht="15.75" customHeight="1">
      <c r="B201" s="20"/>
      <c r="G201" s="20"/>
    </row>
    <row r="202" ht="15.75" customHeight="1">
      <c r="B202" s="20"/>
      <c r="G202" s="20"/>
    </row>
    <row r="203" ht="15.75" customHeight="1">
      <c r="B203" s="20"/>
      <c r="G203" s="20"/>
    </row>
    <row r="204" ht="15.75" customHeight="1">
      <c r="B204" s="20"/>
      <c r="G204" s="20"/>
    </row>
    <row r="205" ht="15.75" customHeight="1">
      <c r="B205" s="20"/>
      <c r="G205" s="20"/>
    </row>
    <row r="206" ht="15.75" customHeight="1">
      <c r="B206" s="20"/>
      <c r="G206" s="20"/>
    </row>
    <row r="207" ht="15.75" customHeight="1">
      <c r="B207" s="20"/>
      <c r="G207" s="20"/>
    </row>
    <row r="208" ht="15.75" customHeight="1">
      <c r="B208" s="20"/>
      <c r="G208" s="20"/>
    </row>
    <row r="209" ht="15.75" customHeight="1">
      <c r="B209" s="20"/>
      <c r="G209" s="20"/>
    </row>
    <row r="210" ht="15.75" customHeight="1">
      <c r="B210" s="20"/>
      <c r="G210" s="20"/>
    </row>
    <row r="211" ht="15.75" customHeight="1">
      <c r="B211" s="20"/>
      <c r="G211" s="20"/>
    </row>
    <row r="212" ht="15.75" customHeight="1">
      <c r="B212" s="20"/>
      <c r="G212" s="20"/>
    </row>
    <row r="213" ht="15.75" customHeight="1">
      <c r="B213" s="20"/>
      <c r="G213" s="20"/>
    </row>
    <row r="214" ht="15.75" customHeight="1">
      <c r="B214" s="20"/>
      <c r="G214" s="20"/>
    </row>
    <row r="215" ht="15.75" customHeight="1">
      <c r="B215" s="20"/>
      <c r="G215" s="20"/>
    </row>
    <row r="216" ht="15.75" customHeight="1">
      <c r="B216" s="20"/>
      <c r="G216" s="20"/>
    </row>
    <row r="217" ht="15.75" customHeight="1">
      <c r="B217" s="20"/>
      <c r="G217" s="20"/>
    </row>
    <row r="218" ht="15.75" customHeight="1">
      <c r="B218" s="20"/>
      <c r="G218" s="20"/>
    </row>
    <row r="219" ht="15.75" customHeight="1">
      <c r="B219" s="20"/>
      <c r="G219" s="20"/>
    </row>
    <row r="220" ht="15.75" customHeight="1">
      <c r="B220" s="20"/>
      <c r="G220" s="20"/>
    </row>
    <row r="221" ht="15.75" customHeight="1">
      <c r="B221" s="20"/>
      <c r="G221" s="20"/>
    </row>
    <row r="222" ht="15.75" customHeight="1">
      <c r="B222" s="20"/>
      <c r="G222" s="20"/>
    </row>
    <row r="223" ht="15.75" customHeight="1">
      <c r="B223" s="20"/>
      <c r="G223" s="20"/>
    </row>
    <row r="224" ht="15.75" customHeight="1">
      <c r="B224" s="20"/>
      <c r="G224" s="20"/>
    </row>
    <row r="225" ht="15.75" customHeight="1">
      <c r="B225" s="20"/>
      <c r="G225" s="20"/>
    </row>
    <row r="226" ht="15.75" customHeight="1">
      <c r="B226" s="20"/>
      <c r="G226" s="20"/>
    </row>
    <row r="227" ht="15.75" customHeight="1">
      <c r="B227" s="20"/>
      <c r="G227" s="20"/>
    </row>
    <row r="228" ht="15.75" customHeight="1">
      <c r="B228" s="20"/>
      <c r="G228" s="20"/>
    </row>
    <row r="229" ht="15.75" customHeight="1">
      <c r="B229" s="20"/>
      <c r="G229" s="20"/>
    </row>
    <row r="230" ht="15.75" customHeight="1">
      <c r="B230" s="20"/>
      <c r="G230" s="20"/>
    </row>
    <row r="231" ht="15.75" customHeight="1">
      <c r="B231" s="20"/>
      <c r="G231" s="20"/>
    </row>
    <row r="232" ht="15.75" customHeight="1">
      <c r="B232" s="20"/>
      <c r="G232" s="20"/>
    </row>
    <row r="233" ht="15.75" customHeight="1">
      <c r="B233" s="20"/>
      <c r="G233" s="20"/>
    </row>
    <row r="234" ht="15.75" customHeight="1">
      <c r="B234" s="20"/>
      <c r="G234" s="20"/>
    </row>
    <row r="235" ht="15.75" customHeight="1">
      <c r="B235" s="20"/>
      <c r="G235" s="20"/>
    </row>
    <row r="236" ht="15.75" customHeight="1">
      <c r="B236" s="20"/>
      <c r="G236" s="20"/>
    </row>
    <row r="237" ht="15.75" customHeight="1">
      <c r="B237" s="20"/>
      <c r="G237" s="20"/>
    </row>
    <row r="238" ht="15.75" customHeight="1">
      <c r="B238" s="20"/>
      <c r="G238" s="20"/>
    </row>
    <row r="239" ht="15.75" customHeight="1">
      <c r="B239" s="20"/>
      <c r="G239" s="20"/>
    </row>
    <row r="240" ht="15.75" customHeight="1">
      <c r="B240" s="20"/>
      <c r="G240" s="20"/>
    </row>
    <row r="241" ht="15.75" customHeight="1">
      <c r="B241" s="20"/>
      <c r="G241" s="20"/>
    </row>
    <row r="242" ht="15.75" customHeight="1">
      <c r="B242" s="20"/>
      <c r="G242" s="20"/>
    </row>
    <row r="243" ht="15.75" customHeight="1">
      <c r="B243" s="20"/>
      <c r="G243" s="20"/>
    </row>
    <row r="244" ht="15.75" customHeight="1">
      <c r="B244" s="20"/>
      <c r="G244" s="20"/>
    </row>
    <row r="245" ht="15.75" customHeight="1">
      <c r="B245" s="20"/>
      <c r="G245" s="20"/>
    </row>
    <row r="246" ht="15.75" customHeight="1">
      <c r="B246" s="20"/>
      <c r="G246" s="20"/>
    </row>
    <row r="247" ht="15.75" customHeight="1">
      <c r="B247" s="20"/>
      <c r="G247" s="20"/>
    </row>
    <row r="248" ht="15.75" customHeight="1">
      <c r="B248" s="20"/>
      <c r="G248" s="20"/>
    </row>
    <row r="249" ht="15.75" customHeight="1">
      <c r="B249" s="20"/>
      <c r="G249" s="20"/>
    </row>
    <row r="250" ht="15.75" customHeight="1">
      <c r="B250" s="20"/>
      <c r="G250" s="20"/>
    </row>
    <row r="251" ht="15.75" customHeight="1">
      <c r="B251" s="20"/>
      <c r="G251" s="20"/>
    </row>
    <row r="252" ht="15.75" customHeight="1">
      <c r="B252" s="20"/>
      <c r="G252" s="20"/>
    </row>
    <row r="253" ht="15.75" customHeight="1">
      <c r="B253" s="20"/>
      <c r="G253" s="20"/>
    </row>
    <row r="254" ht="15.75" customHeight="1">
      <c r="B254" s="20"/>
      <c r="G254" s="20"/>
    </row>
    <row r="255" ht="15.75" customHeight="1">
      <c r="B255" s="20"/>
      <c r="G255" s="20"/>
    </row>
    <row r="256" ht="15.75" customHeight="1">
      <c r="B256" s="20"/>
      <c r="G256" s="20"/>
    </row>
    <row r="257" ht="15.75" customHeight="1">
      <c r="B257" s="20"/>
      <c r="G257" s="20"/>
    </row>
    <row r="258" ht="15.75" customHeight="1">
      <c r="B258" s="20"/>
      <c r="G258" s="20"/>
    </row>
    <row r="259" ht="15.75" customHeight="1">
      <c r="B259" s="20"/>
      <c r="G259" s="20"/>
    </row>
    <row r="260" ht="15.75" customHeight="1">
      <c r="B260" s="20"/>
      <c r="G260" s="20"/>
    </row>
    <row r="261" ht="15.75" customHeight="1">
      <c r="B261" s="20"/>
      <c r="G261" s="20"/>
    </row>
    <row r="262" ht="15.75" customHeight="1">
      <c r="B262" s="20"/>
      <c r="G262" s="20"/>
    </row>
    <row r="263" ht="15.75" customHeight="1">
      <c r="B263" s="20"/>
      <c r="G263" s="20"/>
    </row>
    <row r="264" ht="15.75" customHeight="1">
      <c r="B264" s="20"/>
      <c r="G264" s="20"/>
    </row>
    <row r="265" ht="15.75" customHeight="1">
      <c r="B265" s="20"/>
      <c r="G265" s="20"/>
    </row>
    <row r="266" ht="15.75" customHeight="1">
      <c r="B266" s="20"/>
      <c r="G266" s="20"/>
    </row>
    <row r="267" ht="15.75" customHeight="1">
      <c r="B267" s="20"/>
      <c r="G267" s="20"/>
    </row>
    <row r="268" ht="15.75" customHeight="1">
      <c r="B268" s="20"/>
      <c r="G268" s="20"/>
    </row>
    <row r="269" ht="15.75" customHeight="1">
      <c r="B269" s="20"/>
      <c r="G269" s="20"/>
    </row>
    <row r="270" ht="15.75" customHeight="1">
      <c r="B270" s="20"/>
      <c r="G270" s="20"/>
    </row>
    <row r="271" ht="15.75" customHeight="1">
      <c r="B271" s="20"/>
      <c r="G271" s="20"/>
    </row>
    <row r="272" ht="15.75" customHeight="1">
      <c r="B272" s="20"/>
      <c r="G272" s="20"/>
    </row>
    <row r="273" ht="15.75" customHeight="1">
      <c r="B273" s="20"/>
      <c r="G273" s="20"/>
    </row>
    <row r="274" ht="15.75" customHeight="1">
      <c r="B274" s="20"/>
      <c r="G274" s="20"/>
    </row>
    <row r="275" ht="15.75" customHeight="1">
      <c r="B275" s="20"/>
      <c r="G275" s="20"/>
    </row>
    <row r="276" ht="15.75" customHeight="1">
      <c r="B276" s="20"/>
      <c r="G276" s="20"/>
    </row>
    <row r="277" ht="15.75" customHeight="1">
      <c r="B277" s="20"/>
      <c r="G277" s="20"/>
    </row>
    <row r="278" ht="15.75" customHeight="1">
      <c r="B278" s="20"/>
      <c r="G278" s="20"/>
    </row>
    <row r="279" ht="15.75" customHeight="1">
      <c r="B279" s="20"/>
      <c r="G279" s="20"/>
    </row>
    <row r="280" ht="15.75" customHeight="1">
      <c r="B280" s="20"/>
      <c r="G280" s="20"/>
    </row>
    <row r="281" ht="15.75" customHeight="1">
      <c r="B281" s="20"/>
      <c r="G281" s="20"/>
    </row>
    <row r="282" ht="15.75" customHeight="1">
      <c r="B282" s="20"/>
      <c r="G282" s="20"/>
    </row>
    <row r="283" ht="15.75" customHeight="1">
      <c r="B283" s="20"/>
      <c r="G283" s="20"/>
    </row>
    <row r="284" ht="15.75" customHeight="1">
      <c r="B284" s="20"/>
      <c r="G284" s="20"/>
    </row>
    <row r="285" ht="15.75" customHeight="1">
      <c r="B285" s="20"/>
      <c r="G285" s="20"/>
    </row>
    <row r="286" ht="15.75" customHeight="1">
      <c r="B286" s="20"/>
      <c r="G286" s="20"/>
    </row>
    <row r="287" ht="15.75" customHeight="1">
      <c r="B287" s="20"/>
      <c r="G287" s="20"/>
    </row>
    <row r="288" ht="15.75" customHeight="1">
      <c r="B288" s="20"/>
      <c r="G288" s="20"/>
    </row>
    <row r="289" ht="15.75" customHeight="1">
      <c r="B289" s="20"/>
      <c r="G289" s="20"/>
    </row>
    <row r="290" ht="15.75" customHeight="1">
      <c r="B290" s="20"/>
      <c r="G290" s="20"/>
    </row>
    <row r="291" ht="15.75" customHeight="1">
      <c r="B291" s="20"/>
      <c r="G291" s="20"/>
    </row>
    <row r="292" ht="15.75" customHeight="1">
      <c r="B292" s="20"/>
      <c r="G292" s="20"/>
    </row>
    <row r="293" ht="15.75" customHeight="1">
      <c r="B293" s="20"/>
      <c r="G293" s="20"/>
    </row>
    <row r="294" ht="15.75" customHeight="1">
      <c r="B294" s="20"/>
      <c r="G294" s="20"/>
    </row>
    <row r="295" ht="15.75" customHeight="1">
      <c r="B295" s="20"/>
      <c r="G295" s="20"/>
    </row>
    <row r="296" ht="15.75" customHeight="1">
      <c r="B296" s="20"/>
      <c r="G296" s="20"/>
    </row>
    <row r="297" ht="15.75" customHeight="1">
      <c r="B297" s="20"/>
      <c r="G297" s="20"/>
    </row>
    <row r="298" ht="15.75" customHeight="1">
      <c r="B298" s="20"/>
      <c r="G298" s="20"/>
    </row>
    <row r="299" ht="15.75" customHeight="1">
      <c r="B299" s="20"/>
      <c r="G299" s="20"/>
    </row>
    <row r="300" ht="15.75" customHeight="1">
      <c r="B300" s="20"/>
      <c r="G300" s="20"/>
    </row>
    <row r="301" ht="15.75" customHeight="1">
      <c r="B301" s="20"/>
      <c r="G301" s="20"/>
    </row>
    <row r="302" ht="15.75" customHeight="1">
      <c r="B302" s="20"/>
      <c r="G302" s="20"/>
    </row>
    <row r="303" ht="15.75" customHeight="1">
      <c r="B303" s="20"/>
      <c r="G303" s="20"/>
    </row>
    <row r="304" ht="15.75" customHeight="1">
      <c r="B304" s="20"/>
      <c r="G304" s="20"/>
    </row>
    <row r="305" ht="15.75" customHeight="1">
      <c r="B305" s="20"/>
      <c r="G305" s="20"/>
    </row>
    <row r="306" ht="15.75" customHeight="1">
      <c r="B306" s="20"/>
      <c r="G306" s="20"/>
    </row>
    <row r="307" ht="15.75" customHeight="1">
      <c r="B307" s="20"/>
      <c r="G307" s="20"/>
    </row>
    <row r="308" ht="15.75" customHeight="1">
      <c r="B308" s="20"/>
      <c r="G308" s="20"/>
    </row>
    <row r="309" ht="15.75" customHeight="1">
      <c r="B309" s="20"/>
      <c r="G309" s="20"/>
    </row>
    <row r="310" ht="15.75" customHeight="1">
      <c r="B310" s="20"/>
      <c r="G310" s="20"/>
    </row>
    <row r="311" ht="15.75" customHeight="1">
      <c r="B311" s="20"/>
      <c r="G311" s="20"/>
    </row>
    <row r="312" ht="15.75" customHeight="1">
      <c r="B312" s="20"/>
      <c r="G312" s="20"/>
    </row>
    <row r="313" ht="15.75" customHeight="1">
      <c r="B313" s="20"/>
      <c r="G313" s="20"/>
    </row>
    <row r="314" ht="15.75" customHeight="1">
      <c r="B314" s="20"/>
      <c r="G314" s="20"/>
    </row>
    <row r="315" ht="15.75" customHeight="1">
      <c r="B315" s="20"/>
      <c r="G315" s="20"/>
    </row>
    <row r="316" ht="15.75" customHeight="1">
      <c r="B316" s="20"/>
      <c r="G316" s="20"/>
    </row>
    <row r="317" ht="15.75" customHeight="1">
      <c r="B317" s="20"/>
      <c r="G317" s="20"/>
    </row>
    <row r="318" ht="15.75" customHeight="1">
      <c r="B318" s="20"/>
      <c r="G318" s="20"/>
    </row>
    <row r="319" ht="15.75" customHeight="1">
      <c r="B319" s="20"/>
      <c r="G319" s="20"/>
    </row>
    <row r="320" ht="15.75" customHeight="1">
      <c r="B320" s="20"/>
      <c r="G320" s="20"/>
    </row>
    <row r="321" ht="15.75" customHeight="1">
      <c r="B321" s="20"/>
      <c r="G321" s="20"/>
    </row>
    <row r="322" ht="15.75" customHeight="1">
      <c r="B322" s="20"/>
      <c r="G322" s="20"/>
    </row>
    <row r="323" ht="15.75" customHeight="1">
      <c r="B323" s="20"/>
      <c r="G323" s="20"/>
    </row>
    <row r="324" ht="15.75" customHeight="1">
      <c r="B324" s="20"/>
      <c r="G324" s="20"/>
    </row>
    <row r="325" ht="15.75" customHeight="1">
      <c r="B325" s="20"/>
      <c r="G325" s="20"/>
    </row>
    <row r="326" ht="15.75" customHeight="1">
      <c r="B326" s="20"/>
      <c r="G326" s="20"/>
    </row>
    <row r="327" ht="15.75" customHeight="1">
      <c r="B327" s="20"/>
      <c r="G327" s="20"/>
    </row>
    <row r="328" ht="15.75" customHeight="1">
      <c r="B328" s="20"/>
      <c r="G328" s="20"/>
    </row>
    <row r="329" ht="15.75" customHeight="1">
      <c r="B329" s="20"/>
      <c r="G329" s="20"/>
    </row>
    <row r="330" ht="15.75" customHeight="1">
      <c r="B330" s="20"/>
      <c r="G330" s="20"/>
    </row>
    <row r="331" ht="15.75" customHeight="1">
      <c r="B331" s="20"/>
      <c r="G331" s="20"/>
    </row>
    <row r="332" ht="15.75" customHeight="1">
      <c r="B332" s="20"/>
      <c r="G332" s="20"/>
    </row>
    <row r="333" ht="15.75" customHeight="1">
      <c r="B333" s="20"/>
      <c r="G333" s="20"/>
    </row>
    <row r="334" ht="15.75" customHeight="1">
      <c r="B334" s="20"/>
      <c r="G334" s="20"/>
    </row>
    <row r="335" ht="15.75" customHeight="1">
      <c r="B335" s="20"/>
      <c r="G335" s="20"/>
    </row>
    <row r="336" ht="15.75" customHeight="1">
      <c r="B336" s="20"/>
      <c r="G336" s="20"/>
    </row>
    <row r="337" ht="15.75" customHeight="1">
      <c r="B337" s="20"/>
      <c r="G337" s="20"/>
    </row>
    <row r="338" ht="15.75" customHeight="1">
      <c r="B338" s="20"/>
      <c r="G338" s="20"/>
    </row>
    <row r="339" ht="15.75" customHeight="1">
      <c r="B339" s="20"/>
      <c r="G339" s="20"/>
    </row>
    <row r="340" ht="15.75" customHeight="1">
      <c r="B340" s="20"/>
      <c r="G340" s="20"/>
    </row>
    <row r="341" ht="15.75" customHeight="1">
      <c r="B341" s="20"/>
      <c r="G341" s="20"/>
    </row>
    <row r="342" ht="15.75" customHeight="1">
      <c r="B342" s="20"/>
      <c r="G342" s="20"/>
    </row>
    <row r="343" ht="15.75" customHeight="1">
      <c r="B343" s="20"/>
      <c r="G343" s="20"/>
    </row>
    <row r="344" ht="15.75" customHeight="1">
      <c r="B344" s="20"/>
      <c r="G344" s="20"/>
    </row>
    <row r="345" ht="15.75" customHeight="1">
      <c r="B345" s="20"/>
      <c r="G345" s="20"/>
    </row>
    <row r="346" ht="15.75" customHeight="1">
      <c r="B346" s="20"/>
      <c r="G346" s="20"/>
    </row>
    <row r="347" ht="15.75" customHeight="1">
      <c r="B347" s="20"/>
      <c r="G347" s="20"/>
    </row>
    <row r="348" ht="15.75" customHeight="1">
      <c r="B348" s="20"/>
      <c r="G348" s="20"/>
    </row>
    <row r="349" ht="15.75" customHeight="1">
      <c r="B349" s="20"/>
      <c r="G349" s="20"/>
    </row>
    <row r="350" ht="15.75" customHeight="1">
      <c r="B350" s="20"/>
      <c r="G350" s="20"/>
    </row>
    <row r="351" ht="15.75" customHeight="1">
      <c r="B351" s="20"/>
      <c r="G351" s="20"/>
    </row>
    <row r="352" ht="15.75" customHeight="1">
      <c r="B352" s="20"/>
      <c r="G352" s="20"/>
    </row>
    <row r="353" ht="15.75" customHeight="1">
      <c r="B353" s="20"/>
      <c r="G353" s="20"/>
    </row>
    <row r="354" ht="15.75" customHeight="1">
      <c r="B354" s="20"/>
      <c r="G354" s="20"/>
    </row>
    <row r="355" ht="15.75" customHeight="1">
      <c r="B355" s="20"/>
      <c r="G355" s="20"/>
    </row>
    <row r="356" ht="15.75" customHeight="1">
      <c r="B356" s="20"/>
      <c r="G356" s="20"/>
    </row>
    <row r="357" ht="15.75" customHeight="1">
      <c r="B357" s="20"/>
      <c r="G357" s="20"/>
    </row>
    <row r="358" ht="15.75" customHeight="1">
      <c r="B358" s="20"/>
      <c r="G358" s="20"/>
    </row>
    <row r="359" ht="15.75" customHeight="1">
      <c r="B359" s="20"/>
      <c r="G359" s="20"/>
    </row>
    <row r="360" ht="15.75" customHeight="1">
      <c r="B360" s="20"/>
      <c r="G360" s="20"/>
    </row>
    <row r="361" ht="15.75" customHeight="1">
      <c r="B361" s="20"/>
      <c r="G361" s="20"/>
    </row>
    <row r="362" ht="15.75" customHeight="1">
      <c r="B362" s="20"/>
      <c r="G362" s="20"/>
    </row>
    <row r="363" ht="15.75" customHeight="1">
      <c r="B363" s="20"/>
      <c r="G363" s="20"/>
    </row>
    <row r="364" ht="15.75" customHeight="1">
      <c r="B364" s="20"/>
      <c r="G364" s="20"/>
    </row>
    <row r="365" ht="15.75" customHeight="1">
      <c r="B365" s="20"/>
      <c r="G365" s="20"/>
    </row>
    <row r="366" ht="15.75" customHeight="1">
      <c r="B366" s="20"/>
      <c r="G366" s="20"/>
    </row>
    <row r="367" ht="15.75" customHeight="1">
      <c r="B367" s="20"/>
      <c r="G367" s="20"/>
    </row>
    <row r="368" ht="15.75" customHeight="1">
      <c r="B368" s="20"/>
      <c r="G368" s="20"/>
    </row>
    <row r="369" ht="15.75" customHeight="1">
      <c r="B369" s="20"/>
      <c r="G369" s="20"/>
    </row>
    <row r="370" ht="15.75" customHeight="1">
      <c r="B370" s="20"/>
      <c r="G370" s="20"/>
    </row>
    <row r="371" ht="15.75" customHeight="1">
      <c r="B371" s="20"/>
      <c r="G371" s="20"/>
    </row>
    <row r="372" ht="15.75" customHeight="1">
      <c r="B372" s="20"/>
      <c r="G372" s="20"/>
    </row>
    <row r="373" ht="15.75" customHeight="1">
      <c r="B373" s="20"/>
      <c r="G373" s="20"/>
    </row>
    <row r="374" ht="15.75" customHeight="1">
      <c r="B374" s="20"/>
      <c r="G374" s="20"/>
    </row>
    <row r="375" ht="15.75" customHeight="1">
      <c r="B375" s="20"/>
      <c r="G375" s="20"/>
    </row>
    <row r="376" ht="15.75" customHeight="1">
      <c r="B376" s="20"/>
      <c r="G376" s="20"/>
    </row>
    <row r="377" ht="15.75" customHeight="1">
      <c r="B377" s="20"/>
      <c r="G377" s="20"/>
    </row>
    <row r="378" ht="15.75" customHeight="1">
      <c r="B378" s="20"/>
      <c r="G378" s="20"/>
    </row>
    <row r="379" ht="15.75" customHeight="1">
      <c r="B379" s="20"/>
      <c r="G379" s="20"/>
    </row>
    <row r="380" ht="15.75" customHeight="1">
      <c r="B380" s="20"/>
      <c r="G380" s="20"/>
    </row>
    <row r="381" ht="15.75" customHeight="1">
      <c r="B381" s="20"/>
      <c r="G381" s="20"/>
    </row>
    <row r="382" ht="15.75" customHeight="1">
      <c r="B382" s="20"/>
      <c r="G382" s="20"/>
    </row>
    <row r="383" ht="15.75" customHeight="1">
      <c r="B383" s="20"/>
      <c r="G383" s="20"/>
    </row>
    <row r="384" ht="15.75" customHeight="1">
      <c r="B384" s="20"/>
      <c r="G384" s="20"/>
    </row>
    <row r="385" ht="15.75" customHeight="1">
      <c r="B385" s="20"/>
      <c r="G385" s="20"/>
    </row>
    <row r="386" ht="15.75" customHeight="1">
      <c r="B386" s="20"/>
      <c r="G386" s="20"/>
    </row>
    <row r="387" ht="15.75" customHeight="1">
      <c r="B387" s="20"/>
      <c r="G387" s="20"/>
    </row>
    <row r="388" ht="15.75" customHeight="1">
      <c r="B388" s="20"/>
      <c r="G388" s="20"/>
    </row>
    <row r="389" ht="15.75" customHeight="1">
      <c r="B389" s="20"/>
      <c r="G389" s="20"/>
    </row>
    <row r="390" ht="15.75" customHeight="1">
      <c r="B390" s="20"/>
      <c r="G390" s="20"/>
    </row>
    <row r="391" ht="15.75" customHeight="1">
      <c r="B391" s="20"/>
      <c r="G391" s="20"/>
    </row>
    <row r="392" ht="15.75" customHeight="1">
      <c r="B392" s="20"/>
      <c r="G392" s="20"/>
    </row>
    <row r="393" ht="15.75" customHeight="1">
      <c r="B393" s="20"/>
      <c r="G393" s="20"/>
    </row>
    <row r="394" ht="15.75" customHeight="1">
      <c r="B394" s="20"/>
      <c r="G394" s="20"/>
    </row>
    <row r="395" ht="15.75" customHeight="1">
      <c r="B395" s="20"/>
      <c r="G395" s="20"/>
    </row>
    <row r="396" ht="15.75" customHeight="1">
      <c r="B396" s="20"/>
      <c r="G396" s="20"/>
    </row>
    <row r="397" ht="15.75" customHeight="1">
      <c r="B397" s="20"/>
      <c r="G397" s="20"/>
    </row>
    <row r="398" ht="15.75" customHeight="1">
      <c r="B398" s="20"/>
      <c r="G398" s="20"/>
    </row>
    <row r="399" ht="15.75" customHeight="1">
      <c r="B399" s="20"/>
      <c r="G399" s="20"/>
    </row>
    <row r="400" ht="15.75" customHeight="1">
      <c r="B400" s="20"/>
      <c r="G400" s="20"/>
    </row>
    <row r="401" ht="15.75" customHeight="1">
      <c r="B401" s="20"/>
      <c r="G401" s="20"/>
    </row>
    <row r="402" ht="15.75" customHeight="1">
      <c r="B402" s="20"/>
      <c r="G402" s="20"/>
    </row>
    <row r="403" ht="15.75" customHeight="1">
      <c r="B403" s="20"/>
      <c r="G403" s="20"/>
    </row>
    <row r="404" ht="15.75" customHeight="1">
      <c r="B404" s="20"/>
      <c r="G404" s="20"/>
    </row>
    <row r="405" ht="15.75" customHeight="1">
      <c r="B405" s="20"/>
      <c r="G405" s="20"/>
    </row>
    <row r="406" ht="15.75" customHeight="1">
      <c r="B406" s="20"/>
      <c r="G406" s="20"/>
    </row>
    <row r="407" ht="15.75" customHeight="1">
      <c r="B407" s="20"/>
      <c r="G407" s="20"/>
    </row>
    <row r="408" ht="15.75" customHeight="1">
      <c r="B408" s="20"/>
      <c r="G408" s="20"/>
    </row>
    <row r="409" ht="15.75" customHeight="1">
      <c r="B409" s="20"/>
      <c r="G409" s="20"/>
    </row>
    <row r="410" ht="15.75" customHeight="1">
      <c r="B410" s="20"/>
      <c r="G410" s="20"/>
    </row>
    <row r="411" ht="15.75" customHeight="1">
      <c r="B411" s="20"/>
      <c r="G411" s="20"/>
    </row>
    <row r="412" ht="15.75" customHeight="1">
      <c r="B412" s="20"/>
      <c r="G412" s="20"/>
    </row>
    <row r="413" ht="15.75" customHeight="1">
      <c r="B413" s="20"/>
      <c r="G413" s="20"/>
    </row>
    <row r="414" ht="15.75" customHeight="1">
      <c r="B414" s="20"/>
      <c r="G414" s="20"/>
    </row>
    <row r="415" ht="15.75" customHeight="1">
      <c r="B415" s="20"/>
      <c r="G415" s="20"/>
    </row>
    <row r="416" ht="15.75" customHeight="1">
      <c r="B416" s="20"/>
      <c r="G416" s="20"/>
    </row>
    <row r="417" ht="15.75" customHeight="1">
      <c r="B417" s="20"/>
      <c r="G417" s="20"/>
    </row>
    <row r="418" ht="15.75" customHeight="1">
      <c r="B418" s="20"/>
      <c r="G418" s="20"/>
    </row>
    <row r="419" ht="15.75" customHeight="1">
      <c r="B419" s="20"/>
      <c r="G419" s="20"/>
    </row>
    <row r="420" ht="15.75" customHeight="1">
      <c r="B420" s="20"/>
      <c r="G420" s="20"/>
    </row>
    <row r="421" ht="15.75" customHeight="1">
      <c r="B421" s="20"/>
      <c r="G421" s="20"/>
    </row>
    <row r="422" ht="15.75" customHeight="1">
      <c r="B422" s="20"/>
      <c r="G422" s="20"/>
    </row>
    <row r="423" ht="15.75" customHeight="1">
      <c r="B423" s="20"/>
      <c r="G423" s="20"/>
    </row>
    <row r="424" ht="15.75" customHeight="1">
      <c r="B424" s="20"/>
      <c r="G424" s="20"/>
    </row>
    <row r="425" ht="15.75" customHeight="1">
      <c r="B425" s="20"/>
      <c r="G425" s="20"/>
    </row>
    <row r="426" ht="15.75" customHeight="1">
      <c r="B426" s="20"/>
      <c r="G426" s="20"/>
    </row>
    <row r="427" ht="15.75" customHeight="1">
      <c r="B427" s="20"/>
      <c r="G427" s="20"/>
    </row>
    <row r="428" ht="15.75" customHeight="1">
      <c r="B428" s="20"/>
      <c r="G428" s="20"/>
    </row>
    <row r="429" ht="15.75" customHeight="1">
      <c r="B429" s="20"/>
      <c r="G429" s="20"/>
    </row>
    <row r="430" ht="15.75" customHeight="1">
      <c r="B430" s="20"/>
      <c r="G430" s="20"/>
    </row>
    <row r="431" ht="15.75" customHeight="1">
      <c r="B431" s="20"/>
      <c r="G431" s="20"/>
    </row>
    <row r="432" ht="15.75" customHeight="1">
      <c r="B432" s="20"/>
      <c r="G432" s="20"/>
    </row>
    <row r="433" ht="15.75" customHeight="1">
      <c r="B433" s="20"/>
      <c r="G433" s="20"/>
    </row>
    <row r="434" ht="15.75" customHeight="1">
      <c r="B434" s="20"/>
      <c r="G434" s="20"/>
    </row>
    <row r="435" ht="15.75" customHeight="1">
      <c r="B435" s="20"/>
      <c r="G435" s="20"/>
    </row>
    <row r="436" ht="15.75" customHeight="1">
      <c r="B436" s="20"/>
      <c r="G436" s="20"/>
    </row>
    <row r="437" ht="15.75" customHeight="1">
      <c r="B437" s="20"/>
      <c r="G437" s="20"/>
    </row>
    <row r="438" ht="15.75" customHeight="1">
      <c r="B438" s="20"/>
      <c r="G438" s="20"/>
    </row>
    <row r="439" ht="15.75" customHeight="1">
      <c r="B439" s="20"/>
      <c r="G439" s="20"/>
    </row>
    <row r="440" ht="15.75" customHeight="1">
      <c r="B440" s="20"/>
      <c r="G440" s="20"/>
    </row>
    <row r="441" ht="15.75" customHeight="1">
      <c r="B441" s="20"/>
      <c r="G441" s="20"/>
    </row>
    <row r="442" ht="15.75" customHeight="1">
      <c r="B442" s="20"/>
      <c r="G442" s="20"/>
    </row>
    <row r="443" ht="15.75" customHeight="1">
      <c r="B443" s="20"/>
      <c r="G443" s="20"/>
    </row>
    <row r="444" ht="15.75" customHeight="1">
      <c r="B444" s="20"/>
      <c r="G444" s="20"/>
    </row>
    <row r="445" ht="15.75" customHeight="1">
      <c r="B445" s="20"/>
      <c r="G445" s="20"/>
    </row>
    <row r="446" ht="15.75" customHeight="1">
      <c r="B446" s="20"/>
      <c r="G446" s="20"/>
    </row>
    <row r="447" ht="15.75" customHeight="1">
      <c r="B447" s="20"/>
      <c r="G447" s="20"/>
    </row>
    <row r="448" ht="15.75" customHeight="1">
      <c r="B448" s="20"/>
      <c r="G448" s="20"/>
    </row>
    <row r="449" ht="15.75" customHeight="1">
      <c r="B449" s="20"/>
      <c r="G449" s="20"/>
    </row>
    <row r="450" ht="15.75" customHeight="1">
      <c r="B450" s="20"/>
      <c r="G450" s="20"/>
    </row>
    <row r="451" ht="15.75" customHeight="1">
      <c r="B451" s="20"/>
      <c r="G451" s="20"/>
    </row>
    <row r="452" ht="15.75" customHeight="1">
      <c r="B452" s="20"/>
      <c r="G452" s="20"/>
    </row>
    <row r="453" ht="15.75" customHeight="1">
      <c r="B453" s="20"/>
      <c r="G453" s="20"/>
    </row>
    <row r="454" ht="15.75" customHeight="1">
      <c r="B454" s="20"/>
      <c r="G454" s="20"/>
    </row>
    <row r="455" ht="15.75" customHeight="1">
      <c r="B455" s="20"/>
      <c r="G455" s="20"/>
    </row>
    <row r="456" ht="15.75" customHeight="1">
      <c r="B456" s="20"/>
      <c r="G456" s="20"/>
    </row>
    <row r="457" ht="15.75" customHeight="1">
      <c r="B457" s="20"/>
      <c r="G457" s="20"/>
    </row>
    <row r="458" ht="15.75" customHeight="1">
      <c r="B458" s="20"/>
      <c r="G458" s="20"/>
    </row>
    <row r="459" ht="15.75" customHeight="1">
      <c r="B459" s="20"/>
      <c r="G459" s="20"/>
    </row>
    <row r="460" ht="15.75" customHeight="1">
      <c r="B460" s="20"/>
      <c r="G460" s="20"/>
    </row>
    <row r="461" ht="15.75" customHeight="1">
      <c r="B461" s="20"/>
      <c r="G461" s="20"/>
    </row>
    <row r="462" ht="15.75" customHeight="1">
      <c r="B462" s="20"/>
      <c r="G462" s="20"/>
    </row>
    <row r="463" ht="15.75" customHeight="1">
      <c r="B463" s="20"/>
      <c r="G463" s="20"/>
    </row>
    <row r="464" ht="15.75" customHeight="1">
      <c r="B464" s="20"/>
      <c r="G464" s="20"/>
    </row>
    <row r="465" ht="15.75" customHeight="1">
      <c r="B465" s="20"/>
      <c r="G465" s="20"/>
    </row>
    <row r="466" ht="15.75" customHeight="1">
      <c r="B466" s="20"/>
      <c r="G466" s="20"/>
    </row>
    <row r="467" ht="15.75" customHeight="1">
      <c r="B467" s="20"/>
      <c r="G467" s="20"/>
    </row>
    <row r="468" ht="15.75" customHeight="1">
      <c r="B468" s="20"/>
      <c r="G468" s="20"/>
    </row>
    <row r="469" ht="15.75" customHeight="1">
      <c r="B469" s="20"/>
      <c r="G469" s="20"/>
    </row>
    <row r="470" ht="15.75" customHeight="1">
      <c r="B470" s="20"/>
      <c r="G470" s="20"/>
    </row>
    <row r="471" ht="15.75" customHeight="1">
      <c r="B471" s="20"/>
      <c r="G471" s="20"/>
    </row>
    <row r="472" ht="15.75" customHeight="1">
      <c r="B472" s="20"/>
      <c r="G472" s="20"/>
    </row>
    <row r="473" ht="15.75" customHeight="1">
      <c r="B473" s="20"/>
      <c r="G473" s="20"/>
    </row>
    <row r="474" ht="15.75" customHeight="1">
      <c r="B474" s="20"/>
      <c r="G474" s="20"/>
    </row>
    <row r="475" ht="15.75" customHeight="1">
      <c r="B475" s="20"/>
      <c r="G475" s="20"/>
    </row>
    <row r="476" ht="15.75" customHeight="1">
      <c r="B476" s="20"/>
      <c r="G476" s="20"/>
    </row>
    <row r="477" ht="15.75" customHeight="1">
      <c r="B477" s="20"/>
      <c r="G477" s="20"/>
    </row>
    <row r="478" ht="15.75" customHeight="1">
      <c r="B478" s="20"/>
      <c r="G478" s="20"/>
    </row>
    <row r="479" ht="15.75" customHeight="1">
      <c r="B479" s="20"/>
      <c r="G479" s="20"/>
    </row>
    <row r="480" ht="15.75" customHeight="1">
      <c r="B480" s="20"/>
      <c r="G480" s="20"/>
    </row>
    <row r="481" ht="15.75" customHeight="1">
      <c r="B481" s="20"/>
      <c r="G481" s="20"/>
    </row>
    <row r="482" ht="15.75" customHeight="1">
      <c r="B482" s="20"/>
      <c r="G482" s="20"/>
    </row>
    <row r="483" ht="15.75" customHeight="1">
      <c r="B483" s="20"/>
      <c r="G483" s="20"/>
    </row>
    <row r="484" ht="15.75" customHeight="1">
      <c r="B484" s="20"/>
      <c r="G484" s="20"/>
    </row>
    <row r="485" ht="15.75" customHeight="1">
      <c r="B485" s="20"/>
      <c r="G485" s="20"/>
    </row>
    <row r="486" ht="15.75" customHeight="1">
      <c r="B486" s="20"/>
      <c r="G486" s="20"/>
    </row>
    <row r="487" ht="15.75" customHeight="1">
      <c r="B487" s="20"/>
      <c r="G487" s="20"/>
    </row>
    <row r="488" ht="15.75" customHeight="1">
      <c r="B488" s="20"/>
      <c r="G488" s="20"/>
    </row>
    <row r="489" ht="15.75" customHeight="1">
      <c r="B489" s="20"/>
      <c r="G489" s="20"/>
    </row>
    <row r="490" ht="15.75" customHeight="1">
      <c r="B490" s="20"/>
      <c r="G490" s="20"/>
    </row>
    <row r="491" ht="15.75" customHeight="1">
      <c r="B491" s="20"/>
      <c r="G491" s="20"/>
    </row>
    <row r="492" ht="15.75" customHeight="1">
      <c r="B492" s="20"/>
      <c r="G492" s="20"/>
    </row>
    <row r="493" ht="15.75" customHeight="1">
      <c r="B493" s="20"/>
      <c r="G493" s="20"/>
    </row>
    <row r="494" ht="15.75" customHeight="1">
      <c r="B494" s="20"/>
      <c r="G494" s="20"/>
    </row>
    <row r="495" ht="15.75" customHeight="1">
      <c r="B495" s="20"/>
      <c r="G495" s="20"/>
    </row>
    <row r="496" ht="15.75" customHeight="1">
      <c r="B496" s="20"/>
      <c r="G496" s="20"/>
    </row>
    <row r="497" ht="15.75" customHeight="1">
      <c r="B497" s="20"/>
      <c r="G497" s="20"/>
    </row>
    <row r="498" ht="15.75" customHeight="1">
      <c r="B498" s="20"/>
      <c r="G498" s="20"/>
    </row>
    <row r="499" ht="15.75" customHeight="1">
      <c r="B499" s="20"/>
      <c r="G499" s="20"/>
    </row>
    <row r="500" ht="15.75" customHeight="1">
      <c r="B500" s="20"/>
      <c r="G500" s="20"/>
    </row>
    <row r="501" ht="15.75" customHeight="1">
      <c r="B501" s="20"/>
      <c r="G501" s="20"/>
    </row>
    <row r="502" ht="15.75" customHeight="1">
      <c r="B502" s="20"/>
      <c r="G502" s="20"/>
    </row>
    <row r="503" ht="15.75" customHeight="1">
      <c r="B503" s="20"/>
      <c r="G503" s="20"/>
    </row>
    <row r="504" ht="15.75" customHeight="1">
      <c r="B504" s="20"/>
      <c r="G504" s="20"/>
    </row>
    <row r="505" ht="15.75" customHeight="1">
      <c r="B505" s="20"/>
      <c r="G505" s="20"/>
    </row>
    <row r="506" ht="15.75" customHeight="1">
      <c r="B506" s="20"/>
      <c r="G506" s="20"/>
    </row>
    <row r="507" ht="15.75" customHeight="1">
      <c r="B507" s="20"/>
      <c r="G507" s="20"/>
    </row>
    <row r="508" ht="15.75" customHeight="1">
      <c r="B508" s="20"/>
      <c r="G508" s="20"/>
    </row>
    <row r="509" ht="15.75" customHeight="1">
      <c r="B509" s="20"/>
      <c r="G509" s="20"/>
    </row>
    <row r="510" ht="15.75" customHeight="1">
      <c r="B510" s="20"/>
      <c r="G510" s="20"/>
    </row>
    <row r="511" ht="15.75" customHeight="1">
      <c r="B511" s="20"/>
      <c r="G511" s="20"/>
    </row>
    <row r="512" ht="15.75" customHeight="1">
      <c r="B512" s="20"/>
      <c r="G512" s="20"/>
    </row>
    <row r="513" ht="15.75" customHeight="1">
      <c r="B513" s="20"/>
      <c r="G513" s="20"/>
    </row>
    <row r="514" ht="15.75" customHeight="1">
      <c r="B514" s="20"/>
      <c r="G514" s="20"/>
    </row>
    <row r="515" ht="15.75" customHeight="1">
      <c r="B515" s="20"/>
      <c r="G515" s="20"/>
    </row>
    <row r="516" ht="15.75" customHeight="1">
      <c r="B516" s="20"/>
      <c r="G516" s="20"/>
    </row>
    <row r="517" ht="15.75" customHeight="1">
      <c r="B517" s="20"/>
      <c r="G517" s="20"/>
    </row>
    <row r="518" ht="15.75" customHeight="1">
      <c r="B518" s="20"/>
      <c r="G518" s="20"/>
    </row>
    <row r="519" ht="15.75" customHeight="1">
      <c r="B519" s="20"/>
      <c r="G519" s="20"/>
    </row>
    <row r="520" ht="15.75" customHeight="1">
      <c r="B520" s="20"/>
      <c r="G520" s="20"/>
    </row>
    <row r="521" ht="15.75" customHeight="1">
      <c r="B521" s="20"/>
      <c r="G521" s="20"/>
    </row>
    <row r="522" ht="15.75" customHeight="1">
      <c r="B522" s="20"/>
      <c r="G522" s="20"/>
    </row>
    <row r="523" ht="15.75" customHeight="1">
      <c r="B523" s="20"/>
      <c r="G523" s="20"/>
    </row>
    <row r="524" ht="15.75" customHeight="1">
      <c r="B524" s="20"/>
      <c r="G524" s="20"/>
    </row>
    <row r="525" ht="15.75" customHeight="1">
      <c r="B525" s="20"/>
      <c r="G525" s="20"/>
    </row>
    <row r="526" ht="15.75" customHeight="1">
      <c r="B526" s="20"/>
      <c r="G526" s="20"/>
    </row>
    <row r="527" ht="15.75" customHeight="1">
      <c r="B527" s="20"/>
      <c r="G527" s="20"/>
    </row>
    <row r="528" ht="15.75" customHeight="1">
      <c r="B528" s="20"/>
      <c r="G528" s="20"/>
    </row>
    <row r="529" ht="15.75" customHeight="1">
      <c r="B529" s="20"/>
      <c r="G529" s="20"/>
    </row>
    <row r="530" ht="15.75" customHeight="1">
      <c r="B530" s="20"/>
      <c r="G530" s="20"/>
    </row>
    <row r="531" ht="15.75" customHeight="1">
      <c r="B531" s="20"/>
      <c r="G531" s="20"/>
    </row>
    <row r="532" ht="15.75" customHeight="1">
      <c r="B532" s="20"/>
      <c r="G532" s="20"/>
    </row>
    <row r="533" ht="15.75" customHeight="1">
      <c r="B533" s="20"/>
      <c r="G533" s="20"/>
    </row>
    <row r="534" ht="15.75" customHeight="1">
      <c r="B534" s="20"/>
      <c r="G534" s="20"/>
    </row>
    <row r="535" ht="15.75" customHeight="1">
      <c r="B535" s="20"/>
      <c r="G535" s="20"/>
    </row>
    <row r="536" ht="15.75" customHeight="1">
      <c r="B536" s="20"/>
      <c r="G536" s="20"/>
    </row>
    <row r="537" ht="15.75" customHeight="1">
      <c r="B537" s="20"/>
      <c r="G537" s="20"/>
    </row>
    <row r="538" ht="15.75" customHeight="1">
      <c r="B538" s="20"/>
      <c r="G538" s="20"/>
    </row>
    <row r="539" ht="15.75" customHeight="1">
      <c r="B539" s="20"/>
      <c r="G539" s="20"/>
    </row>
    <row r="540" ht="15.75" customHeight="1">
      <c r="B540" s="20"/>
      <c r="G540" s="20"/>
    </row>
    <row r="541" ht="15.75" customHeight="1">
      <c r="B541" s="20"/>
      <c r="G541" s="20"/>
    </row>
    <row r="542" ht="15.75" customHeight="1">
      <c r="B542" s="20"/>
      <c r="G542" s="20"/>
    </row>
    <row r="543" ht="15.75" customHeight="1">
      <c r="B543" s="20"/>
      <c r="G543" s="20"/>
    </row>
    <row r="544" ht="15.75" customHeight="1">
      <c r="B544" s="20"/>
      <c r="G544" s="20"/>
    </row>
    <row r="545" ht="15.75" customHeight="1">
      <c r="B545" s="20"/>
      <c r="G545" s="20"/>
    </row>
    <row r="546" ht="15.75" customHeight="1">
      <c r="B546" s="20"/>
      <c r="G546" s="20"/>
    </row>
    <row r="547" ht="15.75" customHeight="1">
      <c r="B547" s="20"/>
      <c r="G547" s="20"/>
    </row>
    <row r="548" ht="15.75" customHeight="1">
      <c r="B548" s="20"/>
      <c r="G548" s="20"/>
    </row>
    <row r="549" ht="15.75" customHeight="1">
      <c r="B549" s="20"/>
      <c r="G549" s="20"/>
    </row>
    <row r="550" ht="15.75" customHeight="1">
      <c r="B550" s="20"/>
      <c r="G550" s="20"/>
    </row>
    <row r="551" ht="15.75" customHeight="1">
      <c r="B551" s="20"/>
      <c r="G551" s="20"/>
    </row>
    <row r="552" ht="15.75" customHeight="1">
      <c r="B552" s="20"/>
      <c r="G552" s="20"/>
    </row>
    <row r="553" ht="15.75" customHeight="1">
      <c r="B553" s="20"/>
      <c r="G553" s="20"/>
    </row>
    <row r="554" ht="15.75" customHeight="1">
      <c r="B554" s="20"/>
      <c r="G554" s="20"/>
    </row>
    <row r="555" ht="15.75" customHeight="1">
      <c r="B555" s="20"/>
      <c r="G555" s="20"/>
    </row>
    <row r="556" ht="15.75" customHeight="1">
      <c r="B556" s="20"/>
      <c r="G556" s="20"/>
    </row>
    <row r="557" ht="15.75" customHeight="1">
      <c r="B557" s="20"/>
      <c r="G557" s="20"/>
    </row>
    <row r="558" ht="15.75" customHeight="1">
      <c r="B558" s="20"/>
      <c r="G558" s="20"/>
    </row>
    <row r="559" ht="15.75" customHeight="1">
      <c r="B559" s="20"/>
      <c r="G559" s="20"/>
    </row>
    <row r="560" ht="15.75" customHeight="1">
      <c r="B560" s="20"/>
      <c r="G560" s="20"/>
    </row>
    <row r="561" ht="15.75" customHeight="1">
      <c r="B561" s="20"/>
      <c r="G561" s="20"/>
    </row>
    <row r="562" ht="15.75" customHeight="1">
      <c r="B562" s="20"/>
      <c r="G562" s="20"/>
    </row>
    <row r="563" ht="15.75" customHeight="1">
      <c r="B563" s="20"/>
      <c r="G563" s="20"/>
    </row>
    <row r="564" ht="15.75" customHeight="1">
      <c r="B564" s="20"/>
      <c r="G564" s="20"/>
    </row>
    <row r="565" ht="15.75" customHeight="1">
      <c r="B565" s="20"/>
      <c r="G565" s="20"/>
    </row>
    <row r="566" ht="15.75" customHeight="1">
      <c r="B566" s="20"/>
      <c r="G566" s="20"/>
    </row>
    <row r="567" ht="15.75" customHeight="1">
      <c r="B567" s="20"/>
      <c r="G567" s="20"/>
    </row>
    <row r="568" ht="15.75" customHeight="1">
      <c r="B568" s="20"/>
      <c r="G568" s="20"/>
    </row>
    <row r="569" ht="15.75" customHeight="1">
      <c r="B569" s="20"/>
      <c r="G569" s="20"/>
    </row>
    <row r="570" ht="15.75" customHeight="1">
      <c r="B570" s="20"/>
      <c r="G570" s="20"/>
    </row>
    <row r="571" ht="15.75" customHeight="1">
      <c r="B571" s="20"/>
      <c r="G571" s="20"/>
    </row>
    <row r="572" ht="15.75" customHeight="1">
      <c r="B572" s="20"/>
      <c r="G572" s="20"/>
    </row>
    <row r="573" ht="15.75" customHeight="1">
      <c r="B573" s="20"/>
      <c r="G573" s="20"/>
    </row>
    <row r="574" ht="15.75" customHeight="1">
      <c r="B574" s="20"/>
      <c r="G574" s="20"/>
    </row>
    <row r="575" ht="15.75" customHeight="1">
      <c r="B575" s="20"/>
      <c r="G575" s="20"/>
    </row>
    <row r="576" ht="15.75" customHeight="1">
      <c r="B576" s="20"/>
      <c r="G576" s="20"/>
    </row>
    <row r="577" ht="15.75" customHeight="1">
      <c r="B577" s="20"/>
      <c r="G577" s="20"/>
    </row>
    <row r="578" ht="15.75" customHeight="1">
      <c r="B578" s="20"/>
      <c r="G578" s="20"/>
    </row>
    <row r="579" ht="15.75" customHeight="1">
      <c r="B579" s="20"/>
      <c r="G579" s="20"/>
    </row>
    <row r="580" ht="15.75" customHeight="1">
      <c r="B580" s="20"/>
      <c r="G580" s="20"/>
    </row>
    <row r="581" ht="15.75" customHeight="1">
      <c r="B581" s="20"/>
      <c r="G581" s="20"/>
    </row>
    <row r="582" ht="15.75" customHeight="1">
      <c r="B582" s="20"/>
      <c r="G582" s="20"/>
    </row>
    <row r="583" ht="15.75" customHeight="1">
      <c r="B583" s="20"/>
      <c r="G583" s="20"/>
    </row>
    <row r="584" ht="15.75" customHeight="1">
      <c r="B584" s="20"/>
      <c r="G584" s="20"/>
    </row>
    <row r="585" ht="15.75" customHeight="1">
      <c r="B585" s="20"/>
      <c r="G585" s="20"/>
    </row>
    <row r="586" ht="15.75" customHeight="1">
      <c r="B586" s="20"/>
      <c r="G586" s="20"/>
    </row>
    <row r="587" ht="15.75" customHeight="1">
      <c r="B587" s="20"/>
      <c r="G587" s="20"/>
    </row>
    <row r="588" ht="15.75" customHeight="1">
      <c r="B588" s="20"/>
      <c r="G588" s="20"/>
    </row>
    <row r="589" ht="15.75" customHeight="1">
      <c r="B589" s="20"/>
      <c r="G589" s="20"/>
    </row>
    <row r="590" ht="15.75" customHeight="1">
      <c r="B590" s="20"/>
      <c r="G590" s="20"/>
    </row>
    <row r="591" ht="15.75" customHeight="1">
      <c r="B591" s="20"/>
      <c r="G591" s="20"/>
    </row>
    <row r="592" ht="15.75" customHeight="1">
      <c r="B592" s="20"/>
      <c r="G592" s="20"/>
    </row>
    <row r="593" ht="15.75" customHeight="1">
      <c r="B593" s="20"/>
      <c r="G593" s="20"/>
    </row>
    <row r="594" ht="15.75" customHeight="1">
      <c r="B594" s="20"/>
      <c r="G594" s="20"/>
    </row>
    <row r="595" ht="15.75" customHeight="1">
      <c r="B595" s="20"/>
      <c r="G595" s="20"/>
    </row>
    <row r="596" ht="15.75" customHeight="1">
      <c r="B596" s="20"/>
      <c r="G596" s="20"/>
    </row>
    <row r="597" ht="15.75" customHeight="1">
      <c r="B597" s="20"/>
      <c r="G597" s="20"/>
    </row>
    <row r="598" ht="15.75" customHeight="1">
      <c r="B598" s="20"/>
      <c r="G598" s="20"/>
    </row>
    <row r="599" ht="15.75" customHeight="1">
      <c r="B599" s="20"/>
      <c r="G599" s="20"/>
    </row>
    <row r="600" ht="15.75" customHeight="1">
      <c r="B600" s="20"/>
      <c r="G600" s="20"/>
    </row>
    <row r="601" ht="15.75" customHeight="1">
      <c r="B601" s="20"/>
      <c r="G601" s="20"/>
    </row>
    <row r="602" ht="15.75" customHeight="1">
      <c r="B602" s="20"/>
      <c r="G602" s="20"/>
    </row>
    <row r="603" ht="15.75" customHeight="1">
      <c r="B603" s="20"/>
      <c r="G603" s="20"/>
    </row>
    <row r="604" ht="15.75" customHeight="1">
      <c r="B604" s="20"/>
      <c r="G604" s="20"/>
    </row>
    <row r="605" ht="15.75" customHeight="1">
      <c r="B605" s="20"/>
      <c r="G605" s="20"/>
    </row>
    <row r="606" ht="15.75" customHeight="1">
      <c r="B606" s="20"/>
      <c r="G606" s="20"/>
    </row>
    <row r="607" ht="15.75" customHeight="1">
      <c r="B607" s="20"/>
      <c r="G607" s="20"/>
    </row>
    <row r="608" ht="15.75" customHeight="1">
      <c r="B608" s="20"/>
      <c r="G608" s="20"/>
    </row>
    <row r="609" ht="15.75" customHeight="1">
      <c r="B609" s="20"/>
      <c r="G609" s="20"/>
    </row>
    <row r="610" ht="15.75" customHeight="1">
      <c r="B610" s="20"/>
      <c r="G610" s="20"/>
    </row>
    <row r="611" ht="15.75" customHeight="1">
      <c r="B611" s="20"/>
      <c r="G611" s="20"/>
    </row>
    <row r="612" ht="15.75" customHeight="1">
      <c r="B612" s="20"/>
      <c r="G612" s="20"/>
    </row>
    <row r="613" ht="15.75" customHeight="1">
      <c r="B613" s="20"/>
      <c r="G613" s="20"/>
    </row>
    <row r="614" ht="15.75" customHeight="1">
      <c r="B614" s="20"/>
      <c r="G614" s="20"/>
    </row>
    <row r="615" ht="15.75" customHeight="1">
      <c r="B615" s="20"/>
      <c r="G615" s="20"/>
    </row>
    <row r="616" ht="15.75" customHeight="1">
      <c r="B616" s="20"/>
      <c r="G616" s="20"/>
    </row>
    <row r="617" ht="15.75" customHeight="1">
      <c r="B617" s="20"/>
      <c r="G617" s="20"/>
    </row>
    <row r="618" ht="15.75" customHeight="1">
      <c r="B618" s="20"/>
      <c r="G618" s="20"/>
    </row>
    <row r="619" ht="15.75" customHeight="1">
      <c r="B619" s="20"/>
      <c r="G619" s="20"/>
    </row>
    <row r="620" ht="15.75" customHeight="1">
      <c r="B620" s="20"/>
      <c r="G620" s="20"/>
    </row>
    <row r="621" ht="15.75" customHeight="1">
      <c r="B621" s="20"/>
      <c r="G621" s="20"/>
    </row>
    <row r="622" ht="15.75" customHeight="1">
      <c r="B622" s="20"/>
      <c r="G622" s="20"/>
    </row>
    <row r="623" ht="15.75" customHeight="1">
      <c r="B623" s="20"/>
      <c r="G623" s="20"/>
    </row>
    <row r="624" ht="15.75" customHeight="1">
      <c r="B624" s="20"/>
      <c r="G624" s="20"/>
    </row>
    <row r="625" ht="15.75" customHeight="1">
      <c r="B625" s="20"/>
      <c r="G625" s="20"/>
    </row>
    <row r="626" ht="15.75" customHeight="1">
      <c r="B626" s="20"/>
      <c r="G626" s="20"/>
    </row>
    <row r="627" ht="15.75" customHeight="1">
      <c r="B627" s="20"/>
      <c r="G627" s="20"/>
    </row>
    <row r="628" ht="15.75" customHeight="1">
      <c r="B628" s="20"/>
      <c r="G628" s="20"/>
    </row>
    <row r="629" ht="15.75" customHeight="1">
      <c r="B629" s="20"/>
      <c r="G629" s="20"/>
    </row>
    <row r="630" ht="15.75" customHeight="1">
      <c r="B630" s="20"/>
      <c r="G630" s="20"/>
    </row>
    <row r="631" ht="15.75" customHeight="1">
      <c r="B631" s="20"/>
      <c r="G631" s="20"/>
    </row>
    <row r="632" ht="15.75" customHeight="1">
      <c r="B632" s="20"/>
      <c r="G632" s="20"/>
    </row>
    <row r="633" ht="15.75" customHeight="1">
      <c r="B633" s="20"/>
      <c r="G633" s="20"/>
    </row>
    <row r="634" ht="15.75" customHeight="1">
      <c r="B634" s="20"/>
      <c r="G634" s="20"/>
    </row>
    <row r="635" ht="15.75" customHeight="1">
      <c r="B635" s="20"/>
      <c r="G635" s="20"/>
    </row>
    <row r="636" ht="15.75" customHeight="1">
      <c r="B636" s="20"/>
      <c r="G636" s="20"/>
    </row>
    <row r="637" ht="15.75" customHeight="1">
      <c r="B637" s="20"/>
      <c r="G637" s="20"/>
    </row>
    <row r="638" ht="15.75" customHeight="1">
      <c r="B638" s="20"/>
      <c r="G638" s="20"/>
    </row>
    <row r="639" ht="15.75" customHeight="1">
      <c r="B639" s="20"/>
      <c r="G639" s="20"/>
    </row>
    <row r="640" ht="15.75" customHeight="1">
      <c r="B640" s="20"/>
      <c r="G640" s="20"/>
    </row>
    <row r="641" ht="15.75" customHeight="1">
      <c r="B641" s="20"/>
      <c r="G641" s="20"/>
    </row>
    <row r="642" ht="15.75" customHeight="1">
      <c r="B642" s="20"/>
      <c r="G642" s="20"/>
    </row>
    <row r="643" ht="15.75" customHeight="1">
      <c r="B643" s="20"/>
      <c r="G643" s="20"/>
    </row>
    <row r="644" ht="15.75" customHeight="1">
      <c r="B644" s="20"/>
      <c r="G644" s="20"/>
    </row>
    <row r="645" ht="15.75" customHeight="1">
      <c r="B645" s="20"/>
      <c r="G645" s="20"/>
    </row>
    <row r="646" ht="15.75" customHeight="1">
      <c r="B646" s="20"/>
      <c r="G646" s="20"/>
    </row>
    <row r="647" ht="15.75" customHeight="1">
      <c r="B647" s="20"/>
      <c r="G647" s="20"/>
    </row>
    <row r="648" ht="15.75" customHeight="1">
      <c r="B648" s="20"/>
      <c r="G648" s="20"/>
    </row>
    <row r="649" ht="15.75" customHeight="1">
      <c r="B649" s="20"/>
      <c r="G649" s="20"/>
    </row>
    <row r="650" ht="15.75" customHeight="1">
      <c r="B650" s="20"/>
      <c r="G650" s="20"/>
    </row>
    <row r="651" ht="15.75" customHeight="1">
      <c r="B651" s="20"/>
      <c r="G651" s="20"/>
    </row>
    <row r="652" ht="15.75" customHeight="1">
      <c r="B652" s="20"/>
      <c r="G652" s="20"/>
    </row>
    <row r="653" ht="15.75" customHeight="1">
      <c r="B653" s="20"/>
      <c r="G653" s="20"/>
    </row>
    <row r="654" ht="15.75" customHeight="1">
      <c r="B654" s="20"/>
      <c r="G654" s="20"/>
    </row>
    <row r="655" ht="15.75" customHeight="1">
      <c r="B655" s="20"/>
      <c r="G655" s="20"/>
    </row>
    <row r="656" ht="15.75" customHeight="1">
      <c r="B656" s="20"/>
      <c r="G656" s="20"/>
    </row>
    <row r="657" ht="15.75" customHeight="1">
      <c r="B657" s="20"/>
      <c r="G657" s="20"/>
    </row>
    <row r="658" ht="15.75" customHeight="1">
      <c r="B658" s="20"/>
      <c r="G658" s="20"/>
    </row>
    <row r="659" ht="15.75" customHeight="1">
      <c r="B659" s="20"/>
      <c r="G659" s="20"/>
    </row>
    <row r="660" ht="15.75" customHeight="1">
      <c r="B660" s="20"/>
      <c r="G660" s="20"/>
    </row>
    <row r="661" ht="15.75" customHeight="1">
      <c r="B661" s="20"/>
      <c r="G661" s="20"/>
    </row>
    <row r="662" ht="15.75" customHeight="1">
      <c r="B662" s="20"/>
      <c r="G662" s="20"/>
    </row>
    <row r="663" ht="15.75" customHeight="1">
      <c r="B663" s="20"/>
      <c r="G663" s="20"/>
    </row>
    <row r="664" ht="15.75" customHeight="1">
      <c r="B664" s="20"/>
      <c r="G664" s="20"/>
    </row>
    <row r="665" ht="15.75" customHeight="1">
      <c r="B665" s="20"/>
      <c r="G665" s="20"/>
    </row>
    <row r="666" ht="15.75" customHeight="1">
      <c r="B666" s="20"/>
      <c r="G666" s="20"/>
    </row>
    <row r="667" ht="15.75" customHeight="1">
      <c r="B667" s="20"/>
      <c r="G667" s="20"/>
    </row>
    <row r="668" ht="15.75" customHeight="1">
      <c r="B668" s="20"/>
      <c r="G668" s="20"/>
    </row>
    <row r="669" ht="15.75" customHeight="1">
      <c r="B669" s="20"/>
      <c r="G669" s="20"/>
    </row>
    <row r="670" ht="15.75" customHeight="1">
      <c r="B670" s="20"/>
      <c r="G670" s="20"/>
    </row>
    <row r="671" ht="15.75" customHeight="1">
      <c r="B671" s="20"/>
      <c r="G671" s="20"/>
    </row>
    <row r="672" ht="15.75" customHeight="1">
      <c r="B672" s="20"/>
      <c r="G672" s="20"/>
    </row>
    <row r="673" ht="15.75" customHeight="1">
      <c r="B673" s="20"/>
      <c r="G673" s="20"/>
    </row>
    <row r="674" ht="15.75" customHeight="1">
      <c r="B674" s="20"/>
      <c r="G674" s="20"/>
    </row>
    <row r="675" ht="15.75" customHeight="1">
      <c r="B675" s="20"/>
      <c r="G675" s="20"/>
    </row>
    <row r="676" ht="15.75" customHeight="1">
      <c r="B676" s="20"/>
      <c r="G676" s="20"/>
    </row>
    <row r="677" ht="15.75" customHeight="1">
      <c r="B677" s="20"/>
      <c r="G677" s="20"/>
    </row>
    <row r="678" ht="15.75" customHeight="1">
      <c r="B678" s="20"/>
      <c r="G678" s="20"/>
    </row>
    <row r="679" ht="15.75" customHeight="1">
      <c r="B679" s="20"/>
      <c r="G679" s="20"/>
    </row>
    <row r="680" ht="15.75" customHeight="1">
      <c r="B680" s="20"/>
      <c r="G680" s="20"/>
    </row>
    <row r="681" ht="15.75" customHeight="1">
      <c r="B681" s="20"/>
      <c r="G681" s="20"/>
    </row>
    <row r="682" ht="15.75" customHeight="1">
      <c r="B682" s="20"/>
      <c r="G682" s="20"/>
    </row>
    <row r="683" ht="15.75" customHeight="1">
      <c r="B683" s="20"/>
      <c r="G683" s="20"/>
    </row>
    <row r="684" ht="15.75" customHeight="1">
      <c r="B684" s="20"/>
      <c r="G684" s="20"/>
    </row>
    <row r="685" ht="15.75" customHeight="1">
      <c r="B685" s="20"/>
      <c r="G685" s="20"/>
    </row>
    <row r="686" ht="15.75" customHeight="1">
      <c r="B686" s="20"/>
      <c r="G686" s="20"/>
    </row>
    <row r="687" ht="15.75" customHeight="1">
      <c r="B687" s="20"/>
      <c r="G687" s="20"/>
    </row>
    <row r="688" ht="15.75" customHeight="1">
      <c r="B688" s="20"/>
      <c r="G688" s="20"/>
    </row>
    <row r="689" ht="15.75" customHeight="1">
      <c r="B689" s="20"/>
      <c r="G689" s="20"/>
    </row>
    <row r="690" ht="15.75" customHeight="1">
      <c r="B690" s="20"/>
      <c r="G690" s="20"/>
    </row>
    <row r="691" ht="15.75" customHeight="1">
      <c r="B691" s="20"/>
      <c r="G691" s="20"/>
    </row>
    <row r="692" ht="15.75" customHeight="1">
      <c r="B692" s="20"/>
      <c r="G692" s="20"/>
    </row>
    <row r="693" ht="15.75" customHeight="1">
      <c r="B693" s="20"/>
      <c r="G693" s="20"/>
    </row>
    <row r="694" ht="15.75" customHeight="1">
      <c r="B694" s="20"/>
      <c r="G694" s="20"/>
    </row>
    <row r="695" ht="15.75" customHeight="1">
      <c r="B695" s="20"/>
      <c r="G695" s="20"/>
    </row>
    <row r="696" ht="15.75" customHeight="1">
      <c r="B696" s="20"/>
      <c r="G696" s="20"/>
    </row>
    <row r="697" ht="15.75" customHeight="1">
      <c r="B697" s="20"/>
      <c r="G697" s="20"/>
    </row>
    <row r="698" ht="15.75" customHeight="1">
      <c r="B698" s="20"/>
      <c r="G698" s="20"/>
    </row>
    <row r="699" ht="15.75" customHeight="1">
      <c r="B699" s="20"/>
      <c r="G699" s="20"/>
    </row>
    <row r="700" ht="15.75" customHeight="1">
      <c r="B700" s="20"/>
      <c r="G700" s="20"/>
    </row>
    <row r="701" ht="15.75" customHeight="1">
      <c r="B701" s="20"/>
      <c r="G701" s="20"/>
    </row>
    <row r="702" ht="15.75" customHeight="1">
      <c r="B702" s="20"/>
      <c r="G702" s="20"/>
    </row>
    <row r="703" ht="15.75" customHeight="1">
      <c r="B703" s="20"/>
      <c r="G703" s="20"/>
    </row>
    <row r="704" ht="15.75" customHeight="1">
      <c r="B704" s="20"/>
      <c r="G704" s="20"/>
    </row>
    <row r="705" ht="15.75" customHeight="1">
      <c r="B705" s="20"/>
      <c r="G705" s="20"/>
    </row>
    <row r="706" ht="15.75" customHeight="1">
      <c r="B706" s="20"/>
      <c r="G706" s="20"/>
    </row>
    <row r="707" ht="15.75" customHeight="1">
      <c r="B707" s="20"/>
      <c r="G707" s="20"/>
    </row>
    <row r="708" ht="15.75" customHeight="1">
      <c r="B708" s="20"/>
      <c r="G708" s="20"/>
    </row>
    <row r="709" ht="15.75" customHeight="1">
      <c r="B709" s="20"/>
      <c r="G709" s="20"/>
    </row>
    <row r="710" ht="15.75" customHeight="1">
      <c r="B710" s="20"/>
      <c r="G710" s="20"/>
    </row>
    <row r="711" ht="15.75" customHeight="1">
      <c r="B711" s="20"/>
      <c r="G711" s="20"/>
    </row>
    <row r="712" ht="15.75" customHeight="1">
      <c r="B712" s="20"/>
      <c r="G712" s="20"/>
    </row>
    <row r="713" ht="15.75" customHeight="1">
      <c r="B713" s="20"/>
      <c r="G713" s="20"/>
    </row>
    <row r="714" ht="15.75" customHeight="1">
      <c r="B714" s="20"/>
      <c r="G714" s="20"/>
    </row>
    <row r="715" ht="15.75" customHeight="1">
      <c r="B715" s="20"/>
      <c r="G715" s="20"/>
    </row>
    <row r="716" ht="15.75" customHeight="1">
      <c r="B716" s="20"/>
      <c r="G716" s="20"/>
    </row>
    <row r="717" ht="15.75" customHeight="1">
      <c r="B717" s="20"/>
      <c r="G717" s="20"/>
    </row>
    <row r="718" ht="15.75" customHeight="1">
      <c r="B718" s="20"/>
      <c r="G718" s="20"/>
    </row>
    <row r="719" ht="15.75" customHeight="1">
      <c r="B719" s="20"/>
      <c r="G719" s="20"/>
    </row>
    <row r="720" ht="15.75" customHeight="1">
      <c r="B720" s="20"/>
      <c r="G720" s="20"/>
    </row>
    <row r="721" ht="15.75" customHeight="1">
      <c r="B721" s="20"/>
      <c r="G721" s="20"/>
    </row>
    <row r="722" ht="15.75" customHeight="1">
      <c r="B722" s="20"/>
      <c r="G722" s="20"/>
    </row>
    <row r="723" ht="15.75" customHeight="1">
      <c r="B723" s="20"/>
      <c r="G723" s="20"/>
    </row>
    <row r="724" ht="15.75" customHeight="1">
      <c r="B724" s="20"/>
      <c r="G724" s="20"/>
    </row>
    <row r="725" ht="15.75" customHeight="1">
      <c r="B725" s="20"/>
      <c r="G725" s="20"/>
    </row>
    <row r="726" ht="15.75" customHeight="1">
      <c r="B726" s="20"/>
      <c r="G726" s="20"/>
    </row>
    <row r="727" ht="15.75" customHeight="1">
      <c r="B727" s="20"/>
      <c r="G727" s="20"/>
    </row>
    <row r="728" ht="15.75" customHeight="1">
      <c r="B728" s="20"/>
      <c r="G728" s="20"/>
    </row>
    <row r="729" ht="15.75" customHeight="1">
      <c r="B729" s="20"/>
      <c r="G729" s="20"/>
    </row>
    <row r="730" ht="15.75" customHeight="1">
      <c r="B730" s="20"/>
      <c r="G730" s="20"/>
    </row>
    <row r="731" ht="15.75" customHeight="1">
      <c r="B731" s="20"/>
      <c r="G731" s="20"/>
    </row>
    <row r="732" ht="15.75" customHeight="1">
      <c r="B732" s="20"/>
      <c r="G732" s="20"/>
    </row>
    <row r="733" ht="15.75" customHeight="1">
      <c r="B733" s="20"/>
      <c r="G733" s="20"/>
    </row>
    <row r="734" ht="15.75" customHeight="1">
      <c r="B734" s="20"/>
      <c r="G734" s="20"/>
    </row>
    <row r="735" ht="15.75" customHeight="1">
      <c r="B735" s="20"/>
      <c r="G735" s="20"/>
    </row>
    <row r="736" ht="15.75" customHeight="1">
      <c r="B736" s="20"/>
      <c r="G736" s="20"/>
    </row>
    <row r="737" ht="15.75" customHeight="1">
      <c r="B737" s="20"/>
      <c r="G737" s="20"/>
    </row>
    <row r="738" ht="15.75" customHeight="1">
      <c r="B738" s="20"/>
      <c r="G738" s="20"/>
    </row>
    <row r="739" ht="15.75" customHeight="1">
      <c r="B739" s="20"/>
      <c r="G739" s="20"/>
    </row>
    <row r="740" ht="15.75" customHeight="1">
      <c r="B740" s="20"/>
      <c r="G740" s="20"/>
    </row>
    <row r="741" ht="15.75" customHeight="1">
      <c r="B741" s="20"/>
      <c r="G741" s="20"/>
    </row>
    <row r="742" ht="15.75" customHeight="1">
      <c r="B742" s="20"/>
      <c r="G742" s="20"/>
    </row>
    <row r="743" ht="15.75" customHeight="1">
      <c r="B743" s="20"/>
      <c r="G743" s="20"/>
    </row>
    <row r="744" ht="15.75" customHeight="1">
      <c r="B744" s="20"/>
      <c r="G744" s="20"/>
    </row>
    <row r="745" ht="15.75" customHeight="1">
      <c r="B745" s="20"/>
      <c r="G745" s="20"/>
    </row>
    <row r="746" ht="15.75" customHeight="1">
      <c r="B746" s="20"/>
      <c r="G746" s="20"/>
    </row>
    <row r="747" ht="15.75" customHeight="1">
      <c r="B747" s="20"/>
      <c r="G747" s="20"/>
    </row>
    <row r="748" ht="15.75" customHeight="1">
      <c r="B748" s="20"/>
      <c r="G748" s="20"/>
    </row>
    <row r="749" ht="15.75" customHeight="1">
      <c r="B749" s="20"/>
      <c r="G749" s="20"/>
    </row>
    <row r="750" ht="15.75" customHeight="1">
      <c r="B750" s="20"/>
      <c r="G750" s="20"/>
    </row>
    <row r="751" ht="15.75" customHeight="1">
      <c r="B751" s="20"/>
      <c r="G751" s="20"/>
    </row>
    <row r="752" ht="15.75" customHeight="1">
      <c r="B752" s="20"/>
      <c r="G752" s="20"/>
    </row>
    <row r="753" ht="15.75" customHeight="1">
      <c r="B753" s="20"/>
      <c r="G753" s="20"/>
    </row>
    <row r="754" ht="15.75" customHeight="1">
      <c r="B754" s="20"/>
      <c r="G754" s="20"/>
    </row>
    <row r="755" ht="15.75" customHeight="1">
      <c r="B755" s="20"/>
      <c r="G755" s="20"/>
    </row>
    <row r="756" ht="15.75" customHeight="1">
      <c r="B756" s="20"/>
      <c r="G756" s="20"/>
    </row>
    <row r="757" ht="15.75" customHeight="1">
      <c r="B757" s="20"/>
      <c r="G757" s="20"/>
    </row>
    <row r="758" ht="15.75" customHeight="1">
      <c r="B758" s="20"/>
      <c r="G758" s="20"/>
    </row>
    <row r="759" ht="15.75" customHeight="1">
      <c r="B759" s="20"/>
      <c r="G759" s="20"/>
    </row>
    <row r="760" ht="15.75" customHeight="1">
      <c r="B760" s="20"/>
      <c r="G760" s="20"/>
    </row>
    <row r="761" ht="15.75" customHeight="1">
      <c r="B761" s="20"/>
      <c r="G761" s="20"/>
    </row>
    <row r="762" ht="15.75" customHeight="1">
      <c r="B762" s="20"/>
      <c r="G762" s="20"/>
    </row>
    <row r="763" ht="15.75" customHeight="1">
      <c r="B763" s="20"/>
      <c r="G763" s="20"/>
    </row>
    <row r="764" ht="15.75" customHeight="1">
      <c r="B764" s="20"/>
      <c r="G764" s="20"/>
    </row>
    <row r="765" ht="15.75" customHeight="1">
      <c r="B765" s="20"/>
      <c r="G765" s="20"/>
    </row>
    <row r="766" ht="15.75" customHeight="1">
      <c r="B766" s="20"/>
      <c r="G766" s="20"/>
    </row>
    <row r="767" ht="15.75" customHeight="1">
      <c r="B767" s="20"/>
      <c r="G767" s="20"/>
    </row>
    <row r="768" ht="15.75" customHeight="1">
      <c r="B768" s="20"/>
      <c r="G768" s="20"/>
    </row>
    <row r="769" ht="15.75" customHeight="1">
      <c r="B769" s="20"/>
      <c r="G769" s="20"/>
    </row>
    <row r="770" ht="15.75" customHeight="1">
      <c r="B770" s="20"/>
      <c r="G770" s="20"/>
    </row>
    <row r="771" ht="15.75" customHeight="1">
      <c r="B771" s="20"/>
      <c r="G771" s="20"/>
    </row>
    <row r="772" ht="15.75" customHeight="1">
      <c r="B772" s="20"/>
      <c r="G772" s="20"/>
    </row>
    <row r="773" ht="15.75" customHeight="1">
      <c r="B773" s="20"/>
      <c r="G773" s="20"/>
    </row>
    <row r="774" ht="15.75" customHeight="1">
      <c r="B774" s="20"/>
      <c r="G774" s="20"/>
    </row>
    <row r="775" ht="15.75" customHeight="1">
      <c r="B775" s="20"/>
      <c r="G775" s="20"/>
    </row>
    <row r="776" ht="15.75" customHeight="1">
      <c r="B776" s="20"/>
      <c r="G776" s="20"/>
    </row>
    <row r="777" ht="15.75" customHeight="1">
      <c r="B777" s="20"/>
      <c r="G777" s="20"/>
    </row>
    <row r="778" ht="15.75" customHeight="1">
      <c r="B778" s="20"/>
      <c r="G778" s="20"/>
    </row>
    <row r="779" ht="15.75" customHeight="1">
      <c r="B779" s="20"/>
      <c r="G779" s="20"/>
    </row>
    <row r="780" ht="15.75" customHeight="1">
      <c r="B780" s="20"/>
      <c r="G780" s="20"/>
    </row>
    <row r="781" ht="15.75" customHeight="1">
      <c r="B781" s="20"/>
      <c r="G781" s="20"/>
    </row>
    <row r="782" ht="15.75" customHeight="1">
      <c r="B782" s="20"/>
      <c r="G782" s="20"/>
    </row>
    <row r="783" ht="15.75" customHeight="1">
      <c r="B783" s="20"/>
      <c r="G783" s="20"/>
    </row>
    <row r="784" ht="15.75" customHeight="1">
      <c r="B784" s="20"/>
      <c r="G784" s="20"/>
    </row>
    <row r="785" ht="15.75" customHeight="1">
      <c r="B785" s="20"/>
      <c r="G785" s="20"/>
    </row>
    <row r="786" ht="15.75" customHeight="1">
      <c r="B786" s="20"/>
      <c r="G786" s="20"/>
    </row>
    <row r="787" ht="15.75" customHeight="1">
      <c r="B787" s="20"/>
      <c r="G787" s="20"/>
    </row>
    <row r="788" ht="15.75" customHeight="1">
      <c r="B788" s="20"/>
      <c r="G788" s="20"/>
    </row>
    <row r="789" ht="15.75" customHeight="1">
      <c r="B789" s="20"/>
      <c r="G789" s="20"/>
    </row>
    <row r="790" ht="15.75" customHeight="1">
      <c r="B790" s="20"/>
      <c r="G790" s="20"/>
    </row>
    <row r="791" ht="15.75" customHeight="1">
      <c r="B791" s="20"/>
      <c r="G791" s="20"/>
    </row>
    <row r="792" ht="15.75" customHeight="1">
      <c r="B792" s="20"/>
      <c r="G792" s="20"/>
    </row>
    <row r="793" ht="15.75" customHeight="1">
      <c r="B793" s="20"/>
      <c r="G793" s="20"/>
    </row>
    <row r="794" ht="15.75" customHeight="1">
      <c r="B794" s="20"/>
      <c r="G794" s="20"/>
    </row>
    <row r="795" ht="15.75" customHeight="1">
      <c r="B795" s="20"/>
      <c r="G795" s="20"/>
    </row>
    <row r="796" ht="15.75" customHeight="1">
      <c r="B796" s="20"/>
      <c r="G796" s="20"/>
    </row>
    <row r="797" ht="15.75" customHeight="1">
      <c r="B797" s="20"/>
      <c r="G797" s="20"/>
    </row>
    <row r="798" ht="15.75" customHeight="1">
      <c r="B798" s="20"/>
      <c r="G798" s="20"/>
    </row>
    <row r="799" ht="15.75" customHeight="1">
      <c r="B799" s="20"/>
      <c r="G799" s="20"/>
    </row>
    <row r="800" ht="15.75" customHeight="1">
      <c r="B800" s="20"/>
      <c r="G800" s="20"/>
    </row>
    <row r="801" ht="15.75" customHeight="1">
      <c r="B801" s="20"/>
      <c r="G801" s="20"/>
    </row>
    <row r="802" ht="15.75" customHeight="1">
      <c r="B802" s="20"/>
      <c r="G802" s="20"/>
    </row>
    <row r="803" ht="15.75" customHeight="1">
      <c r="B803" s="20"/>
      <c r="G803" s="20"/>
    </row>
    <row r="804" ht="15.75" customHeight="1">
      <c r="B804" s="20"/>
      <c r="G804" s="20"/>
    </row>
    <row r="805" ht="15.75" customHeight="1">
      <c r="B805" s="20"/>
      <c r="G805" s="20"/>
    </row>
    <row r="806" ht="15.75" customHeight="1">
      <c r="B806" s="20"/>
      <c r="G806" s="20"/>
    </row>
    <row r="807" ht="15.75" customHeight="1">
      <c r="B807" s="20"/>
      <c r="G807" s="20"/>
    </row>
    <row r="808" ht="15.75" customHeight="1">
      <c r="B808" s="20"/>
      <c r="G808" s="20"/>
    </row>
    <row r="809" ht="15.75" customHeight="1">
      <c r="B809" s="20"/>
      <c r="G809" s="20"/>
    </row>
    <row r="810" ht="15.75" customHeight="1">
      <c r="B810" s="20"/>
      <c r="G810" s="20"/>
    </row>
    <row r="811" ht="15.75" customHeight="1">
      <c r="B811" s="20"/>
      <c r="G811" s="20"/>
    </row>
    <row r="812" ht="15.75" customHeight="1">
      <c r="B812" s="20"/>
      <c r="G812" s="20"/>
    </row>
    <row r="813" ht="15.75" customHeight="1">
      <c r="B813" s="20"/>
      <c r="G813" s="20"/>
    </row>
    <row r="814" ht="15.75" customHeight="1">
      <c r="B814" s="20"/>
      <c r="G814" s="20"/>
    </row>
    <row r="815" ht="15.75" customHeight="1">
      <c r="B815" s="20"/>
      <c r="G815" s="20"/>
    </row>
    <row r="816" ht="15.75" customHeight="1">
      <c r="B816" s="20"/>
      <c r="G816" s="20"/>
    </row>
    <row r="817" ht="15.75" customHeight="1">
      <c r="B817" s="20"/>
      <c r="G817" s="20"/>
    </row>
    <row r="818" ht="15.75" customHeight="1">
      <c r="B818" s="20"/>
      <c r="G818" s="20"/>
    </row>
    <row r="819" ht="15.75" customHeight="1">
      <c r="B819" s="20"/>
      <c r="G819" s="20"/>
    </row>
    <row r="820" ht="15.75" customHeight="1">
      <c r="B820" s="20"/>
      <c r="G820" s="20"/>
    </row>
    <row r="821" ht="15.75" customHeight="1">
      <c r="B821" s="20"/>
      <c r="G821" s="20"/>
    </row>
    <row r="822" ht="15.75" customHeight="1">
      <c r="B822" s="20"/>
      <c r="G822" s="20"/>
    </row>
    <row r="823" ht="15.75" customHeight="1">
      <c r="B823" s="20"/>
      <c r="G823" s="20"/>
    </row>
    <row r="824" ht="15.75" customHeight="1">
      <c r="B824" s="20"/>
      <c r="G824" s="20"/>
    </row>
    <row r="825" ht="15.75" customHeight="1">
      <c r="B825" s="20"/>
      <c r="G825" s="20"/>
    </row>
    <row r="826" ht="15.75" customHeight="1">
      <c r="B826" s="20"/>
      <c r="G826" s="20"/>
    </row>
    <row r="827" ht="15.75" customHeight="1">
      <c r="B827" s="20"/>
      <c r="G827" s="20"/>
    </row>
    <row r="828" ht="15.75" customHeight="1">
      <c r="B828" s="20"/>
      <c r="G828" s="20"/>
    </row>
    <row r="829" ht="15.75" customHeight="1">
      <c r="B829" s="20"/>
      <c r="G829" s="20"/>
    </row>
    <row r="830" ht="15.75" customHeight="1">
      <c r="B830" s="20"/>
      <c r="G830" s="20"/>
    </row>
    <row r="831" ht="15.75" customHeight="1">
      <c r="B831" s="20"/>
      <c r="G831" s="20"/>
    </row>
    <row r="832" ht="15.75" customHeight="1">
      <c r="B832" s="20"/>
      <c r="G832" s="20"/>
    </row>
    <row r="833" ht="15.75" customHeight="1">
      <c r="B833" s="20"/>
      <c r="G833" s="20"/>
    </row>
    <row r="834" ht="15.75" customHeight="1">
      <c r="B834" s="20"/>
      <c r="G834" s="20"/>
    </row>
    <row r="835" ht="15.75" customHeight="1">
      <c r="B835" s="20"/>
      <c r="G835" s="20"/>
    </row>
    <row r="836" ht="15.75" customHeight="1">
      <c r="B836" s="20"/>
      <c r="G836" s="20"/>
    </row>
    <row r="837" ht="15.75" customHeight="1">
      <c r="B837" s="20"/>
      <c r="G837" s="20"/>
    </row>
    <row r="838" ht="15.75" customHeight="1">
      <c r="B838" s="20"/>
      <c r="G838" s="20"/>
    </row>
    <row r="839" ht="15.75" customHeight="1">
      <c r="B839" s="20"/>
      <c r="G839" s="20"/>
    </row>
    <row r="840" ht="15.75" customHeight="1">
      <c r="B840" s="20"/>
      <c r="G840" s="20"/>
    </row>
    <row r="841" ht="15.75" customHeight="1">
      <c r="B841" s="20"/>
      <c r="G841" s="20"/>
    </row>
    <row r="842" ht="15.75" customHeight="1">
      <c r="B842" s="20"/>
      <c r="G842" s="20"/>
    </row>
    <row r="843" ht="15.75" customHeight="1">
      <c r="B843" s="20"/>
      <c r="G843" s="20"/>
    </row>
    <row r="844" ht="15.75" customHeight="1">
      <c r="B844" s="20"/>
      <c r="G844" s="20"/>
    </row>
    <row r="845" ht="15.75" customHeight="1">
      <c r="B845" s="20"/>
      <c r="G845" s="20"/>
    </row>
    <row r="846" ht="15.75" customHeight="1">
      <c r="B846" s="20"/>
      <c r="G846" s="20"/>
    </row>
    <row r="847" ht="15.75" customHeight="1">
      <c r="B847" s="20"/>
      <c r="G847" s="20"/>
    </row>
    <row r="848" ht="15.75" customHeight="1">
      <c r="B848" s="20"/>
      <c r="G848" s="20"/>
    </row>
    <row r="849" ht="15.75" customHeight="1">
      <c r="B849" s="20"/>
      <c r="G849" s="20"/>
    </row>
    <row r="850" ht="15.75" customHeight="1">
      <c r="B850" s="20"/>
      <c r="G850" s="20"/>
    </row>
    <row r="851" ht="15.75" customHeight="1">
      <c r="B851" s="20"/>
      <c r="G851" s="20"/>
    </row>
    <row r="852" ht="15.75" customHeight="1">
      <c r="B852" s="20"/>
      <c r="G852" s="20"/>
    </row>
    <row r="853" ht="15.75" customHeight="1">
      <c r="B853" s="20"/>
      <c r="G853" s="20"/>
    </row>
    <row r="854" ht="15.75" customHeight="1">
      <c r="B854" s="20"/>
      <c r="G854" s="20"/>
    </row>
    <row r="855" ht="15.75" customHeight="1">
      <c r="B855" s="20"/>
      <c r="G855" s="20"/>
    </row>
    <row r="856" ht="15.75" customHeight="1">
      <c r="B856" s="20"/>
      <c r="G856" s="20"/>
    </row>
    <row r="857" ht="15.75" customHeight="1">
      <c r="B857" s="20"/>
      <c r="G857" s="20"/>
    </row>
    <row r="858" ht="15.75" customHeight="1">
      <c r="B858" s="20"/>
      <c r="G858" s="20"/>
    </row>
    <row r="859" ht="15.75" customHeight="1">
      <c r="B859" s="20"/>
      <c r="G859" s="20"/>
    </row>
    <row r="860" ht="15.75" customHeight="1">
      <c r="B860" s="20"/>
      <c r="G860" s="20"/>
    </row>
    <row r="861" ht="15.75" customHeight="1">
      <c r="B861" s="20"/>
      <c r="G861" s="20"/>
    </row>
    <row r="862" ht="15.75" customHeight="1">
      <c r="B862" s="20"/>
      <c r="G862" s="20"/>
    </row>
    <row r="863" ht="15.75" customHeight="1">
      <c r="B863" s="20"/>
      <c r="G863" s="20"/>
    </row>
    <row r="864" ht="15.75" customHeight="1">
      <c r="B864" s="20"/>
      <c r="G864" s="20"/>
    </row>
    <row r="865" ht="15.75" customHeight="1">
      <c r="B865" s="20"/>
      <c r="G865" s="20"/>
    </row>
    <row r="866" ht="15.75" customHeight="1">
      <c r="B866" s="20"/>
      <c r="G866" s="20"/>
    </row>
    <row r="867" ht="15.75" customHeight="1">
      <c r="B867" s="20"/>
      <c r="G867" s="20"/>
    </row>
    <row r="868" ht="15.75" customHeight="1">
      <c r="B868" s="20"/>
      <c r="G868" s="20"/>
    </row>
    <row r="869" ht="15.75" customHeight="1">
      <c r="B869" s="20"/>
      <c r="G869" s="20"/>
    </row>
    <row r="870" ht="15.75" customHeight="1">
      <c r="B870" s="20"/>
      <c r="G870" s="20"/>
    </row>
    <row r="871" ht="15.75" customHeight="1">
      <c r="B871" s="20"/>
      <c r="G871" s="20"/>
    </row>
    <row r="872" ht="15.75" customHeight="1">
      <c r="B872" s="20"/>
      <c r="G872" s="20"/>
    </row>
    <row r="873" ht="15.75" customHeight="1">
      <c r="B873" s="20"/>
      <c r="G873" s="20"/>
    </row>
    <row r="874" ht="15.75" customHeight="1">
      <c r="B874" s="20"/>
      <c r="G874" s="20"/>
    </row>
    <row r="875" ht="15.75" customHeight="1">
      <c r="B875" s="20"/>
      <c r="G875" s="20"/>
    </row>
    <row r="876" ht="15.75" customHeight="1">
      <c r="B876" s="20"/>
      <c r="G876" s="20"/>
    </row>
    <row r="877" ht="15.75" customHeight="1">
      <c r="B877" s="20"/>
      <c r="G877" s="20"/>
    </row>
    <row r="878" ht="15.75" customHeight="1">
      <c r="B878" s="20"/>
      <c r="G878" s="20"/>
    </row>
    <row r="879" ht="15.75" customHeight="1">
      <c r="B879" s="20"/>
      <c r="G879" s="20"/>
    </row>
    <row r="880" ht="15.75" customHeight="1">
      <c r="B880" s="20"/>
      <c r="G880" s="20"/>
    </row>
    <row r="881" ht="15.75" customHeight="1">
      <c r="B881" s="20"/>
      <c r="G881" s="20"/>
    </row>
    <row r="882" ht="15.75" customHeight="1">
      <c r="B882" s="20"/>
      <c r="G882" s="20"/>
    </row>
    <row r="883" ht="15.75" customHeight="1">
      <c r="B883" s="20"/>
      <c r="G883" s="20"/>
    </row>
    <row r="884" ht="15.75" customHeight="1">
      <c r="B884" s="20"/>
      <c r="G884" s="20"/>
    </row>
    <row r="885" ht="15.75" customHeight="1">
      <c r="B885" s="20"/>
      <c r="G885" s="20"/>
    </row>
    <row r="886" ht="15.75" customHeight="1">
      <c r="B886" s="20"/>
      <c r="G886" s="20"/>
    </row>
    <row r="887" ht="15.75" customHeight="1">
      <c r="B887" s="20"/>
      <c r="G887" s="20"/>
    </row>
    <row r="888" ht="15.75" customHeight="1">
      <c r="B888" s="20"/>
      <c r="G888" s="20"/>
    </row>
    <row r="889" ht="15.75" customHeight="1">
      <c r="B889" s="20"/>
      <c r="G889" s="20"/>
    </row>
    <row r="890" ht="15.75" customHeight="1">
      <c r="B890" s="20"/>
      <c r="G890" s="20"/>
    </row>
    <row r="891" ht="15.75" customHeight="1">
      <c r="B891" s="20"/>
      <c r="G891" s="20"/>
    </row>
    <row r="892" ht="15.75" customHeight="1">
      <c r="B892" s="20"/>
      <c r="G892" s="20"/>
    </row>
    <row r="893" ht="15.75" customHeight="1">
      <c r="B893" s="20"/>
      <c r="G893" s="20"/>
    </row>
    <row r="894" ht="15.75" customHeight="1">
      <c r="B894" s="20"/>
      <c r="G894" s="20"/>
    </row>
    <row r="895" ht="15.75" customHeight="1">
      <c r="B895" s="20"/>
      <c r="G895" s="20"/>
    </row>
    <row r="896" ht="15.75" customHeight="1">
      <c r="B896" s="20"/>
      <c r="G896" s="20"/>
    </row>
    <row r="897" ht="15.75" customHeight="1">
      <c r="B897" s="20"/>
      <c r="G897" s="20"/>
    </row>
    <row r="898" ht="15.75" customHeight="1">
      <c r="B898" s="20"/>
      <c r="G898" s="20"/>
    </row>
    <row r="899" ht="15.75" customHeight="1">
      <c r="B899" s="20"/>
      <c r="G899" s="20"/>
    </row>
    <row r="900" ht="15.75" customHeight="1">
      <c r="B900" s="20"/>
      <c r="G900" s="20"/>
    </row>
    <row r="901" ht="15.75" customHeight="1">
      <c r="B901" s="20"/>
      <c r="G901" s="20"/>
    </row>
    <row r="902" ht="15.75" customHeight="1">
      <c r="B902" s="20"/>
      <c r="G902" s="20"/>
    </row>
    <row r="903" ht="15.75" customHeight="1">
      <c r="B903" s="20"/>
      <c r="G903" s="20"/>
    </row>
    <row r="904" ht="15.75" customHeight="1">
      <c r="B904" s="20"/>
      <c r="G904" s="20"/>
    </row>
    <row r="905" ht="15.75" customHeight="1">
      <c r="B905" s="20"/>
      <c r="G905" s="20"/>
    </row>
    <row r="906" ht="15.75" customHeight="1">
      <c r="B906" s="20"/>
      <c r="G906" s="20"/>
    </row>
    <row r="907" ht="15.75" customHeight="1">
      <c r="B907" s="20"/>
      <c r="G907" s="20"/>
    </row>
    <row r="908" ht="15.75" customHeight="1">
      <c r="B908" s="20"/>
      <c r="G908" s="20"/>
    </row>
    <row r="909" ht="15.75" customHeight="1">
      <c r="B909" s="20"/>
      <c r="G909" s="20"/>
    </row>
    <row r="910" ht="15.75" customHeight="1">
      <c r="B910" s="20"/>
      <c r="G910" s="20"/>
    </row>
    <row r="911" ht="15.75" customHeight="1">
      <c r="B911" s="20"/>
      <c r="G911" s="20"/>
    </row>
    <row r="912" ht="15.75" customHeight="1">
      <c r="B912" s="20"/>
      <c r="G912" s="20"/>
    </row>
    <row r="913" ht="15.75" customHeight="1">
      <c r="B913" s="20"/>
      <c r="G913" s="20"/>
    </row>
    <row r="914" ht="15.75" customHeight="1">
      <c r="B914" s="20"/>
      <c r="G914" s="20"/>
    </row>
    <row r="915" ht="15.75" customHeight="1">
      <c r="B915" s="20"/>
      <c r="G915" s="20"/>
    </row>
    <row r="916" ht="15.75" customHeight="1">
      <c r="B916" s="20"/>
      <c r="G916" s="20"/>
    </row>
    <row r="917" ht="15.75" customHeight="1">
      <c r="B917" s="20"/>
      <c r="G917" s="20"/>
    </row>
    <row r="918" ht="15.75" customHeight="1">
      <c r="B918" s="20"/>
      <c r="G918" s="20"/>
    </row>
    <row r="919" ht="15.75" customHeight="1">
      <c r="B919" s="20"/>
      <c r="G919" s="20"/>
    </row>
    <row r="920" ht="15.75" customHeight="1">
      <c r="B920" s="20"/>
      <c r="G920" s="20"/>
    </row>
    <row r="921" ht="15.75" customHeight="1">
      <c r="B921" s="20"/>
      <c r="G921" s="20"/>
    </row>
    <row r="922" ht="15.75" customHeight="1">
      <c r="B922" s="20"/>
      <c r="G922" s="20"/>
    </row>
    <row r="923" ht="15.75" customHeight="1">
      <c r="B923" s="20"/>
      <c r="G923" s="20"/>
    </row>
    <row r="924" ht="15.75" customHeight="1">
      <c r="B924" s="20"/>
      <c r="G924" s="20"/>
    </row>
    <row r="925" ht="15.75" customHeight="1">
      <c r="B925" s="20"/>
      <c r="G925" s="20"/>
    </row>
    <row r="926" ht="15.75" customHeight="1">
      <c r="B926" s="20"/>
      <c r="G926" s="20"/>
    </row>
    <row r="927" ht="15.75" customHeight="1">
      <c r="B927" s="20"/>
      <c r="G927" s="20"/>
    </row>
    <row r="928" ht="15.75" customHeight="1">
      <c r="B928" s="20"/>
      <c r="G928" s="20"/>
    </row>
    <row r="929" ht="15.75" customHeight="1">
      <c r="B929" s="20"/>
      <c r="G929" s="20"/>
    </row>
    <row r="930" ht="15.75" customHeight="1">
      <c r="B930" s="20"/>
      <c r="G930" s="20"/>
    </row>
    <row r="931" ht="15.75" customHeight="1">
      <c r="B931" s="20"/>
      <c r="G931" s="20"/>
    </row>
    <row r="932" ht="15.75" customHeight="1">
      <c r="B932" s="20"/>
      <c r="G932" s="20"/>
    </row>
    <row r="933" ht="15.75" customHeight="1">
      <c r="B933" s="20"/>
      <c r="G933" s="20"/>
    </row>
    <row r="934" ht="15.75" customHeight="1">
      <c r="B934" s="20"/>
      <c r="G934" s="20"/>
    </row>
    <row r="935" ht="15.75" customHeight="1">
      <c r="B935" s="20"/>
      <c r="G935" s="20"/>
    </row>
    <row r="936" ht="15.75" customHeight="1">
      <c r="B936" s="20"/>
      <c r="G936" s="20"/>
    </row>
    <row r="937" ht="15.75" customHeight="1">
      <c r="B937" s="20"/>
      <c r="G937" s="20"/>
    </row>
    <row r="938" ht="15.75" customHeight="1">
      <c r="B938" s="20"/>
      <c r="G938" s="20"/>
    </row>
    <row r="939" ht="15.75" customHeight="1">
      <c r="B939" s="20"/>
      <c r="G939" s="20"/>
    </row>
    <row r="940" ht="15.75" customHeight="1">
      <c r="B940" s="20"/>
      <c r="G940" s="20"/>
    </row>
    <row r="941" ht="15.75" customHeight="1">
      <c r="B941" s="20"/>
      <c r="G941" s="20"/>
    </row>
    <row r="942" ht="15.75" customHeight="1">
      <c r="B942" s="20"/>
      <c r="G942" s="20"/>
    </row>
    <row r="943" ht="15.75" customHeight="1">
      <c r="B943" s="20"/>
      <c r="G943" s="20"/>
    </row>
    <row r="944" ht="15.75" customHeight="1">
      <c r="B944" s="20"/>
      <c r="G944" s="20"/>
    </row>
    <row r="945" ht="15.75" customHeight="1">
      <c r="B945" s="20"/>
      <c r="G945" s="20"/>
    </row>
    <row r="946" ht="15.75" customHeight="1">
      <c r="B946" s="20"/>
      <c r="G946" s="20"/>
    </row>
    <row r="947" ht="15.75" customHeight="1">
      <c r="B947" s="20"/>
      <c r="G947" s="20"/>
    </row>
    <row r="948" ht="15.75" customHeight="1">
      <c r="B948" s="20"/>
      <c r="G948" s="20"/>
    </row>
    <row r="949" ht="15.75" customHeight="1">
      <c r="B949" s="20"/>
      <c r="G949" s="20"/>
    </row>
    <row r="950" ht="15.75" customHeight="1">
      <c r="B950" s="20"/>
      <c r="G950" s="20"/>
    </row>
    <row r="951" ht="15.75" customHeight="1">
      <c r="B951" s="20"/>
      <c r="G951" s="20"/>
    </row>
    <row r="952" ht="15.75" customHeight="1">
      <c r="B952" s="20"/>
      <c r="G952" s="20"/>
    </row>
    <row r="953" ht="15.75" customHeight="1">
      <c r="B953" s="20"/>
      <c r="G953" s="20"/>
    </row>
    <row r="954" ht="15.75" customHeight="1">
      <c r="B954" s="20"/>
      <c r="G954" s="20"/>
    </row>
    <row r="955" ht="15.75" customHeight="1">
      <c r="B955" s="20"/>
      <c r="G955" s="20"/>
    </row>
    <row r="956" ht="15.75" customHeight="1">
      <c r="B956" s="20"/>
      <c r="G956" s="20"/>
    </row>
    <row r="957" ht="15.75" customHeight="1">
      <c r="B957" s="20"/>
      <c r="G957" s="20"/>
    </row>
    <row r="958" ht="15.75" customHeight="1">
      <c r="B958" s="20"/>
      <c r="G958" s="20"/>
    </row>
    <row r="959" ht="15.75" customHeight="1">
      <c r="B959" s="20"/>
      <c r="G959" s="20"/>
    </row>
    <row r="960" ht="15.75" customHeight="1">
      <c r="B960" s="20"/>
      <c r="G960" s="20"/>
    </row>
    <row r="961" ht="15.75" customHeight="1">
      <c r="B961" s="20"/>
      <c r="G961" s="20"/>
    </row>
    <row r="962" ht="15.75" customHeight="1">
      <c r="B962" s="20"/>
      <c r="G962" s="20"/>
    </row>
    <row r="963" ht="15.75" customHeight="1">
      <c r="B963" s="20"/>
      <c r="G963" s="20"/>
    </row>
    <row r="964" ht="15.75" customHeight="1">
      <c r="B964" s="20"/>
      <c r="G964" s="20"/>
    </row>
    <row r="965" ht="15.75" customHeight="1">
      <c r="B965" s="20"/>
      <c r="G965" s="20"/>
    </row>
    <row r="966" ht="15.75" customHeight="1">
      <c r="B966" s="20"/>
      <c r="G966" s="20"/>
    </row>
    <row r="967" ht="15.75" customHeight="1">
      <c r="B967" s="20"/>
      <c r="G967" s="20"/>
    </row>
    <row r="968" ht="15.75" customHeight="1">
      <c r="B968" s="20"/>
      <c r="G968" s="20"/>
    </row>
    <row r="969" ht="15.75" customHeight="1">
      <c r="B969" s="20"/>
      <c r="G969" s="20"/>
    </row>
    <row r="970" ht="15.75" customHeight="1">
      <c r="B970" s="20"/>
      <c r="G970" s="20"/>
    </row>
    <row r="971" ht="15.75" customHeight="1">
      <c r="B971" s="20"/>
      <c r="G971" s="20"/>
    </row>
    <row r="972" ht="15.75" customHeight="1">
      <c r="B972" s="20"/>
      <c r="G972" s="20"/>
    </row>
    <row r="973" ht="15.75" customHeight="1">
      <c r="B973" s="20"/>
      <c r="G973" s="20"/>
    </row>
    <row r="974" ht="15.75" customHeight="1">
      <c r="B974" s="20"/>
      <c r="G974" s="20"/>
    </row>
    <row r="975" ht="15.75" customHeight="1">
      <c r="B975" s="20"/>
      <c r="G975" s="20"/>
    </row>
    <row r="976" ht="15.75" customHeight="1">
      <c r="B976" s="20"/>
      <c r="G976" s="20"/>
    </row>
    <row r="977" ht="15.75" customHeight="1">
      <c r="B977" s="20"/>
      <c r="G977" s="20"/>
    </row>
    <row r="978" ht="15.75" customHeight="1">
      <c r="B978" s="20"/>
      <c r="G978" s="20"/>
    </row>
    <row r="979" ht="15.75" customHeight="1">
      <c r="B979" s="20"/>
      <c r="G979" s="20"/>
    </row>
    <row r="980" ht="15.75" customHeight="1">
      <c r="B980" s="20"/>
      <c r="G980" s="20"/>
    </row>
    <row r="981" ht="15.75" customHeight="1">
      <c r="B981" s="20"/>
      <c r="G981" s="20"/>
    </row>
    <row r="982" ht="15.75" customHeight="1">
      <c r="B982" s="20"/>
      <c r="G982" s="20"/>
    </row>
    <row r="983" ht="15.75" customHeight="1">
      <c r="B983" s="20"/>
      <c r="G983" s="20"/>
    </row>
    <row r="984" ht="15.75" customHeight="1">
      <c r="B984" s="20"/>
      <c r="G984" s="20"/>
    </row>
    <row r="985" ht="15.75" customHeight="1">
      <c r="B985" s="20"/>
      <c r="G985" s="20"/>
    </row>
    <row r="986" ht="15.75" customHeight="1">
      <c r="B986" s="20"/>
      <c r="G986" s="20"/>
    </row>
    <row r="987" ht="15.75" customHeight="1">
      <c r="B987" s="20"/>
      <c r="G987" s="20"/>
    </row>
    <row r="988" ht="15.75" customHeight="1">
      <c r="B988" s="20"/>
      <c r="G988" s="20"/>
    </row>
    <row r="989" ht="15.75" customHeight="1">
      <c r="B989" s="20"/>
      <c r="G989" s="20"/>
    </row>
    <row r="990" ht="15.75" customHeight="1">
      <c r="B990" s="20"/>
      <c r="G990" s="20"/>
    </row>
    <row r="991" ht="15.75" customHeight="1">
      <c r="B991" s="20"/>
      <c r="G991" s="20"/>
    </row>
    <row r="992" ht="15.75" customHeight="1">
      <c r="B992" s="20"/>
      <c r="G992" s="20"/>
    </row>
    <row r="993" ht="15.75" customHeight="1">
      <c r="B993" s="20"/>
      <c r="G993" s="20"/>
    </row>
    <row r="994" ht="15.75" customHeight="1">
      <c r="B994" s="20"/>
      <c r="G994" s="20"/>
    </row>
    <row r="995" ht="15.75" customHeight="1">
      <c r="B995" s="20"/>
      <c r="G995" s="20"/>
    </row>
    <row r="996" ht="15.75" customHeight="1">
      <c r="B996" s="20"/>
      <c r="G996" s="20"/>
    </row>
    <row r="997" ht="15.75" customHeight="1">
      <c r="B997" s="20"/>
      <c r="G997" s="20"/>
    </row>
    <row r="998" ht="15.75" customHeight="1">
      <c r="B998" s="20"/>
      <c r="G998" s="20"/>
    </row>
    <row r="999" ht="15.75" customHeight="1">
      <c r="B999" s="20"/>
      <c r="G999" s="20"/>
    </row>
    <row r="1000" ht="15.75" customHeight="1">
      <c r="B1000" s="20"/>
      <c r="G1000" s="20"/>
    </row>
  </sheetData>
  <mergeCells count="3">
    <mergeCell ref="A4:A11"/>
    <mergeCell ref="A12:A14"/>
    <mergeCell ref="A15:A19"/>
  </mergeCells>
  <conditionalFormatting sqref="F1:F1000">
    <cfRule type="cellIs" dxfId="0" priority="1" operator="equal">
      <formula>"NOK"</formula>
    </cfRule>
  </conditionalFormatting>
  <conditionalFormatting sqref="F1:F1000">
    <cfRule type="cellIs" dxfId="1" priority="2" operator="equal">
      <formula>"OK"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3">
      <c r="A3" s="4" t="s">
        <v>323</v>
      </c>
    </row>
    <row r="4">
      <c r="A4" s="4" t="s">
        <v>324</v>
      </c>
      <c r="B4" s="4">
        <v>900.0</v>
      </c>
    </row>
    <row r="5">
      <c r="A5" s="4" t="s">
        <v>150</v>
      </c>
      <c r="B5" s="4">
        <v>1.8</v>
      </c>
      <c r="C5" s="4" t="s">
        <v>39</v>
      </c>
    </row>
    <row r="6">
      <c r="A6" s="4" t="s">
        <v>325</v>
      </c>
      <c r="B6" s="4">
        <v>7.0</v>
      </c>
      <c r="C6" s="4" t="s">
        <v>13</v>
      </c>
    </row>
    <row r="8">
      <c r="A8" s="4" t="s">
        <v>326</v>
      </c>
    </row>
    <row r="9">
      <c r="A9" s="4" t="s">
        <v>324</v>
      </c>
    </row>
    <row r="10">
      <c r="A10" s="4" t="s">
        <v>150</v>
      </c>
      <c r="C10" s="4" t="s">
        <v>39</v>
      </c>
    </row>
    <row r="11">
      <c r="A11" s="4" t="s">
        <v>325</v>
      </c>
      <c r="C11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0"/>
    <col customWidth="1" min="4" max="14" width="41.57"/>
    <col customWidth="1" min="15" max="26" width="8.0"/>
  </cols>
  <sheetData>
    <row r="2">
      <c r="A2" s="67"/>
      <c r="B2" s="67" t="s">
        <v>327</v>
      </c>
      <c r="C2" s="67" t="s">
        <v>328</v>
      </c>
      <c r="D2" s="90" t="s">
        <v>12</v>
      </c>
      <c r="E2" s="90" t="s">
        <v>14</v>
      </c>
      <c r="F2" s="90" t="s">
        <v>16</v>
      </c>
      <c r="G2" s="90" t="s">
        <v>18</v>
      </c>
      <c r="H2" s="90" t="s">
        <v>21</v>
      </c>
      <c r="I2" s="90" t="s">
        <v>23</v>
      </c>
      <c r="J2" s="90" t="s">
        <v>25</v>
      </c>
      <c r="K2" s="90" t="s">
        <v>27</v>
      </c>
      <c r="L2" s="90" t="s">
        <v>329</v>
      </c>
      <c r="M2" s="90" t="s">
        <v>32</v>
      </c>
      <c r="N2" s="90" t="s">
        <v>33</v>
      </c>
      <c r="O2" s="67"/>
      <c r="P2" s="58" t="s">
        <v>330</v>
      </c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B3" s="4" t="s">
        <v>331</v>
      </c>
      <c r="C3" s="4" t="s">
        <v>332</v>
      </c>
    </row>
    <row r="4">
      <c r="B4" s="4" t="s">
        <v>331</v>
      </c>
      <c r="C4" s="4" t="s">
        <v>333</v>
      </c>
    </row>
    <row r="5">
      <c r="B5" s="4" t="s">
        <v>334</v>
      </c>
      <c r="C5" s="4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3">
      <c r="A3" s="4" t="s">
        <v>335</v>
      </c>
    </row>
    <row r="4">
      <c r="A4" s="4">
        <v>1.0</v>
      </c>
      <c r="B4" s="4" t="s">
        <v>336</v>
      </c>
    </row>
    <row r="5">
      <c r="A5" s="4">
        <v>2.0</v>
      </c>
      <c r="B5" s="4" t="s">
        <v>337</v>
      </c>
    </row>
    <row r="6">
      <c r="A6" s="4">
        <v>3.0</v>
      </c>
      <c r="B6" s="4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</cp:coreProperties>
</file>