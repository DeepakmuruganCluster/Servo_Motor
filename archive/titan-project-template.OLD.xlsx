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in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cols>
    <col min="1" max="1" width="46.83203125" customWidth="1"/>
    <col min="2" max="2" width="18.83203125" customWidth="1"/>
    <col min="3" max="3" width="8.83203125" customWidth="1"/>
    <col min="4" max="4" width="48.83203125" customWidth="1"/>
  </cols>
  <sheetData>
    <row r="1">
      <c r="A1" t="str">
        <v>Project Input Template</v>
      </c>
    </row>
    <row r="3">
      <c r="A3" t="str">
        <v>Parameter</v>
      </c>
      <c r="B3" t="str">
        <v>Value</v>
      </c>
      <c r="C3" t="str">
        <v>Unit</v>
      </c>
      <c r="D3" t="str">
        <v>Notes</v>
      </c>
    </row>
    <row r="4">
      <c r="A4" t="str">
        <v>Stn no</v>
      </c>
      <c r="B4" t="str">
        <v>OP10</v>
      </c>
      <c r="C4" t="str">
        <v/>
      </c>
      <c r="D4" t="str">
        <v>Station identifier</v>
      </c>
    </row>
    <row r="5">
      <c r="A5" t="str">
        <v>Appl</v>
      </c>
      <c r="B5" t="str">
        <v>App-1</v>
      </c>
      <c r="C5" t="str">
        <v/>
      </c>
      <c r="D5" t="str">
        <v>Application name</v>
      </c>
    </row>
    <row r="6">
      <c r="A6" t="str">
        <v>Stroke (mm)</v>
      </c>
      <c r="B6">
        <v>50</v>
      </c>
      <c r="C6" t="str">
        <v/>
      </c>
      <c r="D6" t="str">
        <v>Linear travel distance</v>
      </c>
    </row>
    <row r="7">
      <c r="A7" t="str">
        <v>Move time (s)</v>
      </c>
      <c r="B7">
        <v>1</v>
      </c>
      <c r="C7" t="str">
        <v/>
      </c>
      <c r="D7" t="str">
        <v>Total move time (accel + const + decel)</v>
      </c>
    </row>
    <row r="8">
      <c r="A8" t="str">
        <v>Dwell time (s)</v>
      </c>
      <c r="B8">
        <v>0.1</v>
      </c>
      <c r="C8" t="str">
        <v/>
      </c>
      <c r="D8" t="str">
        <v>Wait time at end of stroke</v>
      </c>
    </row>
    <row r="9">
      <c r="A9" t="str">
        <v>Acceleration time (s)</v>
      </c>
      <c r="B9">
        <v>0.2</v>
      </c>
      <c r="C9" t="str">
        <v/>
      </c>
      <c r="D9" t="str">
        <v>Accel phase duration (leave blank to use Acc% from app)</v>
      </c>
    </row>
    <row r="10">
      <c r="A10" t="str">
        <v>Deceleration time (s)</v>
      </c>
      <c r="B10">
        <v>0.2</v>
      </c>
      <c r="C10" t="str">
        <v/>
      </c>
      <c r="D10" t="str">
        <v>Decel phase duration (leave blank to use Dec% from app)</v>
      </c>
    </row>
    <row r="11">
      <c r="A11" t="str">
        <v>External force (N)</v>
      </c>
      <c r="B11">
        <v>100</v>
      </c>
      <c r="C11" t="str">
        <v/>
      </c>
      <c r="D11" t="str">
        <v>Process or payload force on the axis</v>
      </c>
    </row>
    <row r="12">
      <c r="A12" t="str">
        <v>Ext. force direction</v>
      </c>
      <c r="B12" t="str">
        <v>opposing</v>
      </c>
      <c r="C12" t="str">
        <v/>
      </c>
      <c r="D12" t="str">
        <v>Options: opposing / aiding</v>
      </c>
    </row>
    <row r="13">
      <c r="A13" t="str">
        <v>Payload movement direction</v>
      </c>
      <c r="B13" t="str">
        <v>against gravity</v>
      </c>
      <c r="C13" t="str">
        <v/>
      </c>
      <c r="D13" t="str">
        <v>Options: against gravity / with gravity</v>
      </c>
    </row>
    <row r="14">
      <c r="A14" t="str">
        <v>Payload mass (kg)</v>
      </c>
      <c r="B14">
        <v>3</v>
      </c>
      <c r="C14" t="str">
        <v/>
      </c>
      <c r="D14" t="str">
        <v>Mass of payload being moved</v>
      </c>
    </row>
    <row r="15">
      <c r="A15" t="str">
        <v>Carriage mass (kg)</v>
      </c>
      <c r="B15">
        <v>0.5</v>
      </c>
      <c r="C15" t="str">
        <v/>
      </c>
      <c r="D15" t="str">
        <v>LM guide carriage / saddle mass</v>
      </c>
    </row>
    <row r="16">
      <c r="A16" t="str">
        <v>No. carriage blocks</v>
      </c>
      <c r="B16">
        <v>2</v>
      </c>
      <c r="C16" t="str">
        <v/>
      </c>
      <c r="D16" t="str">
        <v>Number of LM guide carriage blocks</v>
      </c>
    </row>
    <row r="17">
      <c r="A17" t="str">
        <v>Inclination angle (°)</v>
      </c>
      <c r="B17">
        <v>45</v>
      </c>
      <c r="C17" t="str">
        <v/>
      </c>
      <c r="D17" t="str">
        <v>0 = horizontal, 90 = vertical</v>
      </c>
    </row>
    <row r="18">
      <c r="A18" t="str">
        <v>Friction coeff LM guide (μ)</v>
      </c>
      <c r="B18">
        <v>0.005</v>
      </c>
      <c r="C18" t="str">
        <v/>
      </c>
      <c r="D18" t="str">
        <v>Friction coefficient of LM guide</v>
      </c>
    </row>
    <row r="19">
      <c r="A19" t="str">
        <v>Friction Force (N)</v>
      </c>
      <c r="B19">
        <v>3</v>
      </c>
      <c r="C19" t="str">
        <v/>
      </c>
      <c r="D19" t="str">
        <v>Friction force per carriage block (N)</v>
      </c>
    </row>
    <row r="20">
      <c r="A20" t="str">
        <v>Linear bush friction force (counterbalance)</v>
      </c>
      <c r="B20">
        <v>3</v>
      </c>
      <c r="C20" t="str">
        <v/>
      </c>
      <c r="D20" t="str">
        <v>Friction force per counterbalance bushing (N)</v>
      </c>
    </row>
    <row r="21">
      <c r="A21" t="str">
        <v>number of linear bushings (counterbalance)</v>
      </c>
      <c r="B21">
        <v>4</v>
      </c>
      <c r="C21" t="str">
        <v/>
      </c>
      <c r="D21" t="str">
        <v>No. of counterbalance linear bushings</v>
      </c>
    </row>
    <row r="22">
      <c r="A22" t="str">
        <v>Counterbalance exists</v>
      </c>
      <c r="B22" t="str">
        <v>no</v>
      </c>
      <c r="C22" t="str">
        <v/>
      </c>
      <c r="D22" t="str">
        <v>Options: yes / no</v>
      </c>
    </row>
    <row r="23">
      <c r="A23" t="str">
        <v>CB mass (kg)</v>
      </c>
      <c r="B23">
        <v>0</v>
      </c>
      <c r="C23" t="str">
        <v/>
      </c>
      <c r="D23" t="str">
        <v>Counterbalance mass</v>
      </c>
    </row>
    <row r="24">
      <c r="A24" t="str">
        <v>CB inclination (°)</v>
      </c>
      <c r="B24">
        <v>90</v>
      </c>
      <c r="C24" t="str">
        <v/>
      </c>
      <c r="D24" t="str">
        <v>Counterbalance inclination angle</v>
      </c>
    </row>
    <row r="25">
      <c r="A25" t="str">
        <v>CB friction coeff (μ)</v>
      </c>
      <c r="B25">
        <v>0.005</v>
      </c>
      <c r="C25" t="str">
        <v/>
      </c>
      <c r="D25" t="str">
        <v>Counterbalance guide friction coefficient</v>
      </c>
    </row>
    <row r="26">
      <c r="A26" t="str">
        <v>BS lead (mm)</v>
      </c>
      <c r="B26">
        <v>5</v>
      </c>
      <c r="C26" t="str">
        <v/>
      </c>
      <c r="D26" t="str">
        <v>Ball screw lead / pitch</v>
      </c>
    </row>
    <row r="27">
      <c r="A27" t="str">
        <v>BS efficiency</v>
      </c>
      <c r="B27">
        <v>0.95</v>
      </c>
      <c r="C27" t="str">
        <v/>
      </c>
      <c r="D27" t="str">
        <v>Ball screw mechanical efficiency (0–1)</v>
      </c>
    </row>
    <row r="28">
      <c r="A28" t="str">
        <v>Preload nut friction coeff (μ0)</v>
      </c>
      <c r="B28">
        <v>0.2</v>
      </c>
      <c r="C28" t="str">
        <v/>
      </c>
      <c r="D28" t="str">
        <v>Preload nut friction coefficient</v>
      </c>
    </row>
    <row r="29">
      <c r="A29" t="str">
        <v>Preload force F0 (N)</v>
      </c>
      <c r="B29">
        <v>0</v>
      </c>
      <c r="C29" t="str">
        <v/>
      </c>
      <c r="D29" t="str">
        <v>Ball screw preload force</v>
      </c>
    </row>
    <row r="30">
      <c r="A30" t="str">
        <v>No. of fixed side support blocks</v>
      </c>
      <c r="B30">
        <v>1</v>
      </c>
      <c r="C30" t="str">
        <v/>
      </c>
      <c r="D30" t="str">
        <v>No. of fixed-end bearing support blocks</v>
      </c>
    </row>
    <row r="31">
      <c r="A31" t="str">
        <v>Fixed side drag torque per block (Nm)</v>
      </c>
      <c r="B31">
        <v>0</v>
      </c>
      <c r="C31" t="str">
        <v/>
      </c>
      <c r="D31" t="str">
        <v>Drag torque per fixed-side block (from catalog)</v>
      </c>
    </row>
    <row r="32">
      <c r="A32" t="str">
        <v>Fixed side support block drag torque (Nm)</v>
      </c>
      <c r="B32">
        <f>B30*B31</f>
        <v>0</v>
      </c>
      <c r="C32" t="str">
        <v/>
      </c>
      <c r="D32" t="str">
        <v>Auto-calculated: No. blocks × drag/block</v>
      </c>
    </row>
    <row r="33">
      <c r="A33" t="str">
        <v>No. of support side support blocks</v>
      </c>
      <c r="B33">
        <v>1</v>
      </c>
      <c r="C33" t="str">
        <v/>
      </c>
      <c r="D33" t="str">
        <v>No. of floating-end bearing support blocks</v>
      </c>
    </row>
    <row r="34">
      <c r="A34" t="str">
        <v>Support side drag torque per block (Nm)</v>
      </c>
      <c r="B34">
        <v>0</v>
      </c>
      <c r="C34" t="str">
        <v/>
      </c>
      <c r="D34" t="str">
        <v>Drag torque per support-side block (from catalog)</v>
      </c>
    </row>
    <row r="35">
      <c r="A35" t="str">
        <v>Support side support block drag torque (Nm)</v>
      </c>
      <c r="B35">
        <f>B33*B34</f>
        <v>0</v>
      </c>
      <c r="C35" t="str">
        <v/>
      </c>
      <c r="D35" t="str">
        <v>Auto-calculated: No. blocks × drag/block</v>
      </c>
    </row>
    <row r="36">
      <c r="A36" t="str">
        <v>Bearing drag torque (Nm)</v>
      </c>
      <c r="B36">
        <f>B32+B35</f>
        <v>0</v>
      </c>
      <c r="C36" t="str">
        <v/>
      </c>
      <c r="D36" t="str">
        <v>Auto-calculated: fixed total + support total</v>
      </c>
    </row>
    <row r="37">
      <c r="A37" t="str">
        <v>BS inertia (kg·m²)</v>
      </c>
      <c r="B37">
        <v>0.0000107</v>
      </c>
      <c r="C37" t="str">
        <v/>
      </c>
      <c r="D37" t="str">
        <v>Ball screw moment of inertia (from catalog)</v>
      </c>
    </row>
    <row r="38">
      <c r="A38" t="str">
        <v>Guide mass (kg)</v>
      </c>
      <c r="B38">
        <v>0</v>
      </c>
      <c r="C38" t="str">
        <v/>
      </c>
      <c r="D38" t="str">
        <v>LM guide carriage mass (from catalog)</v>
      </c>
    </row>
    <row r="39">
      <c r="A39" t="str">
        <v>PK ratio</v>
      </c>
      <c r="B39">
        <v>1</v>
      </c>
      <c r="C39" t="str">
        <v/>
      </c>
      <c r="D39" t="str">
        <v>Parallel kit gear ratio</v>
      </c>
    </row>
    <row r="40">
      <c r="A40" t="str">
        <v>PK no-load (Nm)</v>
      </c>
      <c r="B40">
        <v>0.07</v>
      </c>
      <c r="C40" t="str">
        <v/>
      </c>
      <c r="D40" t="str">
        <v>Parallel kit no-load running torque</v>
      </c>
    </row>
    <row r="41">
      <c r="A41" t="str">
        <v>PK inertia (kg·m²)</v>
      </c>
      <c r="B41">
        <v>0.0000267</v>
      </c>
      <c r="C41" t="str">
        <v/>
      </c>
      <c r="D41" t="str">
        <v>Parallel kit moment of inertia</v>
      </c>
    </row>
    <row r="42">
      <c r="A42" t="str">
        <v>PK max torque (Nm)</v>
      </c>
      <c r="B42">
        <v>3</v>
      </c>
      <c r="C42" t="str">
        <v/>
      </c>
      <c r="D42" t="str">
        <v>Parallel kit max transferable torque</v>
      </c>
    </row>
    <row r="43">
      <c r="A43" t="str">
        <v>PK max speed (rpm)</v>
      </c>
      <c r="B43">
        <v>6000</v>
      </c>
      <c r="C43" t="str">
        <v/>
      </c>
      <c r="D43" t="str">
        <v>Parallel kit max input speed</v>
      </c>
    </row>
    <row r="44">
      <c r="A44" t="str">
        <v>GB ratio</v>
      </c>
      <c r="B44">
        <v>3</v>
      </c>
      <c r="C44" t="str">
        <v/>
      </c>
      <c r="D44" t="str">
        <v>Gearbox ratio</v>
      </c>
    </row>
    <row r="45">
      <c r="A45" t="str">
        <v>GB efficiency</v>
      </c>
      <c r="B45">
        <v>0.95</v>
      </c>
      <c r="C45" t="str">
        <v/>
      </c>
      <c r="D45" t="str">
        <v>Gearbox mechanical efficiency (0–1)</v>
      </c>
    </row>
    <row r="46">
      <c r="A46" t="str">
        <v>GB no-load (Nm)</v>
      </c>
      <c r="B46">
        <v>0.07</v>
      </c>
      <c r="C46" t="str">
        <v/>
      </c>
      <c r="D46" t="str">
        <v>Gearbox no-load running torque</v>
      </c>
    </row>
    <row r="47">
      <c r="A47" t="str">
        <v>GB inertia (kg·m²)</v>
      </c>
      <c r="B47">
        <v>0</v>
      </c>
      <c r="C47" t="str">
        <v/>
      </c>
      <c r="D47" t="str">
        <v>Gearbox reflected inertia</v>
      </c>
    </row>
    <row r="48">
      <c r="A48" t="str">
        <v>Backlash (arcmin)</v>
      </c>
      <c r="B48">
        <v>0</v>
      </c>
      <c r="C48" t="str">
        <v/>
      </c>
      <c r="D48" t="str">
        <v>Gearbox backlash</v>
      </c>
    </row>
    <row r="49">
      <c r="A49" t="str">
        <v>Safety factor (%)</v>
      </c>
      <c r="B49">
        <v>20</v>
      </c>
      <c r="C49" t="str">
        <v/>
      </c>
      <c r="D49" t="str">
        <v>Design safety factor (%)</v>
      </c>
    </row>
    <row r="50">
      <c r="A50" t="str">
        <v>Cycle time (s)</v>
      </c>
      <c r="B50">
        <v>7</v>
      </c>
      <c r="C50" t="str">
        <v/>
      </c>
      <c r="D50" t="str">
        <v>Total machine cycle time</v>
      </c>
    </row>
    <row r="51">
      <c r="A51" t="str">
        <v>Op. time (s)</v>
      </c>
      <c r="B51">
        <v>2.6</v>
      </c>
      <c r="C51" t="str">
        <v/>
      </c>
      <c r="D51" t="str">
        <v>Servo operating time per cycle</v>
      </c>
    </row>
    <row r="52">
      <c r="A52" t="str">
        <v>Shifts/day</v>
      </c>
      <c r="B52">
        <v>3</v>
      </c>
      <c r="C52" t="str">
        <v/>
      </c>
      <c r="D52" t="str">
        <v>Number of shifts per day</v>
      </c>
    </row>
    <row r="53">
      <c r="A53" t="str">
        <v>Hours/shift</v>
      </c>
      <c r="B53">
        <v>7</v>
      </c>
      <c r="C53" t="str">
        <v/>
      </c>
      <c r="D53" t="str">
        <v>Working hours per shift</v>
      </c>
    </row>
    <row r="54">
      <c r="A54" t="str">
        <v>Days/week</v>
      </c>
      <c r="B54">
        <v>6</v>
      </c>
      <c r="C54" t="str">
        <v/>
      </c>
      <c r="D54" t="str">
        <v>Working days per week</v>
      </c>
    </row>
    <row r="55">
      <c r="A55" t="str">
        <v>Service life (yrs)</v>
      </c>
      <c r="B55">
        <v>10</v>
      </c>
      <c r="C55" t="str">
        <v/>
      </c>
      <c r="D55" t="str">
        <v>Required machine service life</v>
      </c>
    </row>
    <row r="56">
      <c r="A56" t="str">
        <v>Accuracy (µm)</v>
      </c>
      <c r="B56">
        <v>20</v>
      </c>
      <c r="C56" t="str">
        <v/>
      </c>
      <c r="D56" t="str">
        <v>Required positioning accuracy</v>
      </c>
    </row>
    <row r="57">
      <c r="A57" t="str">
        <v>Parallel Kit needed</v>
      </c>
      <c r="B57" t="str">
        <v>Yes</v>
      </c>
      <c r="C57" t="str">
        <v/>
      </c>
      <c r="D57" t="str">
        <v>Options: Yes / No</v>
      </c>
    </row>
    <row r="58">
      <c r="A58" t="str">
        <v>Gearbox needed</v>
      </c>
      <c r="B58" t="str">
        <v>No</v>
      </c>
      <c r="C58" t="str">
        <v/>
      </c>
      <c r="D58" t="str">
        <v>Options: Yes / No</v>
      </c>
    </row>
  </sheetData>
  <ignoredErrors>
    <ignoredError numberStoredAsText="1" sqref="A1:D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