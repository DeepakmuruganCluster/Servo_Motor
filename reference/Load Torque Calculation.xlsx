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780" activeTab="4"/>
  </bookViews>
  <sheets>
    <sheet name="Load Torque" sheetId="3" r:id="rId1"/>
    <sheet name="Axial Force sign matrix" sheetId="4" r:id="rId2"/>
    <sheet name="Speed calc" sheetId="5" r:id="rId3"/>
    <sheet name="Acceleration Torque" sheetId="6" r:id="rId4"/>
    <sheet name="Total Torque Calculation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<sst xmlns="http://schemas.openxmlformats.org/spreadsheetml/2006/main" count="705" uniqueCount="251">
  <si>
    <t>Load Torque</t>
  </si>
  <si>
    <t>Torque requried to overcome steady/continuous load</t>
  </si>
  <si>
    <t>Load Torque @ Ballscrew Shaft</t>
  </si>
  <si>
    <t>Load Torque @ Parallel kit input</t>
  </si>
  <si>
    <t>Load Torque @ Gearbox input shaft</t>
  </si>
  <si>
    <t>Parameter</t>
  </si>
  <si>
    <t>Symbol</t>
  </si>
  <si>
    <t>Unit</t>
  </si>
  <si>
    <t>value</t>
  </si>
  <si>
    <t>Remarks</t>
  </si>
  <si>
    <t>Load Torque @ ballscrew shaft</t>
  </si>
  <si>
    <t>Tl</t>
  </si>
  <si>
    <t>Nm</t>
  </si>
  <si>
    <t>Load Torque @ ballscrew shaft = Axial Force torque +/- ballscrew preload torque +/- ballscrew bearing drag torque</t>
  </si>
  <si>
    <t>Axial Force</t>
  </si>
  <si>
    <t>F</t>
  </si>
  <si>
    <t>N</t>
  </si>
  <si>
    <t>Axial Force = +/- external force +/- gravitational force +/- frictional force +/- counterbalance force</t>
  </si>
  <si>
    <t>External Force</t>
  </si>
  <si>
    <t>use sign based on sign matrix</t>
  </si>
  <si>
    <t>direction of External force</t>
  </si>
  <si>
    <t>opposing movement</t>
  </si>
  <si>
    <t>Gravitational Force</t>
  </si>
  <si>
    <t>Fg</t>
  </si>
  <si>
    <t>Gravitational force = m*g*sinθ</t>
  </si>
  <si>
    <t>movement direction</t>
  </si>
  <si>
    <t>against gravity</t>
  </si>
  <si>
    <t>1.2.1</t>
  </si>
  <si>
    <t>Total moving mass</t>
  </si>
  <si>
    <t>m</t>
  </si>
  <si>
    <t>Kg</t>
  </si>
  <si>
    <t>Total moving mass  = payload mass + carriage mass + ballscrew nut &amp; housing mass + Linear guide carriage blocks mass</t>
  </si>
  <si>
    <t>Payload mass</t>
  </si>
  <si>
    <t>mp</t>
  </si>
  <si>
    <t>Carriage mass</t>
  </si>
  <si>
    <t>mc</t>
  </si>
  <si>
    <t>Ballscrew</t>
  </si>
  <si>
    <t>THK SDA1005VZ-4TTG0+171LC5Y</t>
  </si>
  <si>
    <t>Ballscrew nut mass</t>
  </si>
  <si>
    <t>mn</t>
  </si>
  <si>
    <t>LM rail</t>
  </si>
  <si>
    <t>SSR15</t>
  </si>
  <si>
    <t>Linear guide carriage block mass</t>
  </si>
  <si>
    <t>ml</t>
  </si>
  <si>
    <t>kg</t>
  </si>
  <si>
    <t>per block</t>
  </si>
  <si>
    <t>LM block</t>
  </si>
  <si>
    <t>SSR15XW</t>
  </si>
  <si>
    <t>number of carriage blocks</t>
  </si>
  <si>
    <t>-</t>
  </si>
  <si>
    <t>1.2.2</t>
  </si>
  <si>
    <t>gravitational acceleration</t>
  </si>
  <si>
    <t>g</t>
  </si>
  <si>
    <t>m/s2</t>
  </si>
  <si>
    <t>1.2.3</t>
  </si>
  <si>
    <t>Inclination angle</t>
  </si>
  <si>
    <t>θ</t>
  </si>
  <si>
    <t>deg</t>
  </si>
  <si>
    <t>radians</t>
  </si>
  <si>
    <t>1.2.4</t>
  </si>
  <si>
    <t>Friction coefficient of linear guide</t>
  </si>
  <si>
    <t>μ</t>
  </si>
  <si>
    <t>Friction force</t>
  </si>
  <si>
    <t>Ff</t>
  </si>
  <si>
    <t>Friction force = Fpl + Ffp + Ffcb</t>
  </si>
  <si>
    <t>1.3.1</t>
  </si>
  <si>
    <t>Payload friction force</t>
  </si>
  <si>
    <t>Fpl</t>
  </si>
  <si>
    <t>m*g*μ*cosθ</t>
  </si>
  <si>
    <t>1.3.2</t>
  </si>
  <si>
    <t>Guide friction force (payload side)</t>
  </si>
  <si>
    <t>Ffp</t>
  </si>
  <si>
    <t>LM guide frcition force (payload)</t>
  </si>
  <si>
    <t>Fgf</t>
  </si>
  <si>
    <t>number of carriage blocks (payload)</t>
  </si>
  <si>
    <t>1.3.3</t>
  </si>
  <si>
    <t>Guide friction force(counterbalance side)</t>
  </si>
  <si>
    <t>Ffcb</t>
  </si>
  <si>
    <t>0 if counterbalance is not present</t>
  </si>
  <si>
    <t>Linear bush frcition force (counterbalance)</t>
  </si>
  <si>
    <t>Fgfcb</t>
  </si>
  <si>
    <t>per bushing</t>
  </si>
  <si>
    <t>round shaft</t>
  </si>
  <si>
    <t>15mm</t>
  </si>
  <si>
    <t>number of linear bushings (counterbalance)</t>
  </si>
  <si>
    <t>linear bushing</t>
  </si>
  <si>
    <t>THK LMK15UU</t>
  </si>
  <si>
    <t>Counter balance force</t>
  </si>
  <si>
    <t>Fcb</t>
  </si>
  <si>
    <t>counterbalance present</t>
  </si>
  <si>
    <t>calculated value</t>
  </si>
  <si>
    <t>Counter balance force = m*g*(sinθ + μcosθ)</t>
  </si>
  <si>
    <t>1.4.1</t>
  </si>
  <si>
    <t>Counter balance exists</t>
  </si>
  <si>
    <t>yes</t>
  </si>
  <si>
    <t>1.4.2</t>
  </si>
  <si>
    <t>mass of the counterbalance</t>
  </si>
  <si>
    <t>mcb</t>
  </si>
  <si>
    <t>1.4.3</t>
  </si>
  <si>
    <t>Assisting/Resisting movement</t>
  </si>
  <si>
    <t>"+" if payload is assisted by gravity</t>
  </si>
  <si>
    <t>"-" if payload is against gravity</t>
  </si>
  <si>
    <t>basically it is opposite of payload</t>
  </si>
  <si>
    <t>1.4.4</t>
  </si>
  <si>
    <t>Inclination angle of counter balance</t>
  </si>
  <si>
    <t>radian</t>
  </si>
  <si>
    <t>1.4.5</t>
  </si>
  <si>
    <t>Friction coefficient of counterbalance linear guide</t>
  </si>
  <si>
    <t>Axial Force Torque</t>
  </si>
  <si>
    <t>Taf</t>
  </si>
  <si>
    <t>Axial force torque = Axial force*lead/(2*pi*ballscrew efficiency)</t>
  </si>
  <si>
    <t>Ballscrew lead</t>
  </si>
  <si>
    <t>Pb</t>
  </si>
  <si>
    <t>mm</t>
  </si>
  <si>
    <t>linear movement per rotation @ ballscrew shaft</t>
  </si>
  <si>
    <t>Ballscrew efficiency</t>
  </si>
  <si>
    <t>ηbs</t>
  </si>
  <si>
    <t>Ballscrew Preload Torque</t>
  </si>
  <si>
    <t>Tp</t>
  </si>
  <si>
    <t>some manufacturers provide the direct value in Nm</t>
  </si>
  <si>
    <t>Ballscrew preload torque = (Preloadnut friction coeffcient*Preload force*lead)/(2*pi)</t>
  </si>
  <si>
    <t>Preload nut friction coeffcient</t>
  </si>
  <si>
    <t>μ0</t>
  </si>
  <si>
    <t>Preload Force</t>
  </si>
  <si>
    <t>F0</t>
  </si>
  <si>
    <t>Ball screw bearing drag torque</t>
  </si>
  <si>
    <t>EK8L</t>
  </si>
  <si>
    <t>Fixed side support unit</t>
  </si>
  <si>
    <t>Ball screw bearing drag torque = Fixed side support block drag torque + Support side support block drag torque</t>
  </si>
  <si>
    <t>EF8L</t>
  </si>
  <si>
    <t>Support side support unit</t>
  </si>
  <si>
    <t>Fixed side support block drag torque</t>
  </si>
  <si>
    <t>Axial Load Influence</t>
  </si>
  <si>
    <t>no of fixed side support block</t>
  </si>
  <si>
    <t>drag torque per block</t>
  </si>
  <si>
    <t>T_bearing = μ_bearing × F_equivalent × dm / 2</t>
  </si>
  <si>
    <t>Support side support block drag torque</t>
  </si>
  <si>
    <t>Radial Load influence</t>
  </si>
  <si>
    <t>dm = (d + D) / 2</t>
  </si>
  <si>
    <t>no of support side support block</t>
  </si>
  <si>
    <t>F_equivalent_fixed =F_bearing_preload+ ABS(F_axial_operating)+ F_radial_fixed</t>
  </si>
  <si>
    <t>Motor-effort sign matrix using updated Load Torque sheet names</t>
  </si>
  <si>
    <t>+ = increases motor effort for that phase; - = reduces motor effort; NA = not applicable / zero for that axis. Use ABS() separately for motor capacity checks.</t>
  </si>
  <si>
    <t>Axis</t>
  </si>
  <si>
    <t>Motion phase</t>
  </si>
  <si>
    <t>External Force
 (opposing movement)</t>
  </si>
  <si>
    <t>External Force
 (aiding movement)</t>
  </si>
  <si>
    <t>Comment</t>
  </si>
  <si>
    <t>no</t>
  </si>
  <si>
    <t>Horizontal</t>
  </si>
  <si>
    <t>Either direction</t>
  </si>
  <si>
    <t>Acceleration</t>
  </si>
  <si>
    <t>+</t>
  </si>
  <si>
    <t>NA</t>
  </si>
  <si>
    <t>Updated sheet now uses Gravitational force = m*g*sinθ, so horizontal Gravitational Force is zero/NA. Payload friction force and guide friction force remain active.</t>
  </si>
  <si>
    <t>Top speed</t>
  </si>
  <si>
    <t>Deceleration</t>
  </si>
  <si>
    <t>Vertical / inclined</t>
  </si>
  <si>
    <t>Payload moving against gravity: Gravitational Force increases effort in accel/top and helps stopping in decel.</t>
  </si>
  <si>
    <t>gravity aided</t>
  </si>
  <si>
    <t>Payload moving with gravity: Gravitational Force reduces effort in accel/top and increases braking effort in decel.</t>
  </si>
  <si>
    <t>Treat as External Force</t>
  </si>
  <si>
    <t>For a horizontal axis, a spring/cylinder/counter-force should be entered as External Force, not as vertical Counter balance force.</t>
  </si>
  <si>
    <t>Counter balance force is opposite to Gravitational Force. Counterbalance-side guide friction is drag: + in accel/top, - in decel.</t>
  </si>
  <si>
    <t>Downward/gravity-aided decel: gravity increases braking effort, while counterbalance and drag help stopping.</t>
  </si>
  <si>
    <t>Case</t>
  </si>
  <si>
    <t>Motor-effort load torque expression using updated sheet names</t>
  </si>
  <si>
    <t>Horizontal, no counterbalance</t>
  </si>
  <si>
    <t>+External Force(opposing) '-External Force(aiding) '+Payload friction force '+Guide friction force (payload side) '+Ballscrew Preload Torque '+Ball screw bearing drag torque</t>
  </si>
  <si>
    <t>-External Force(opposing) '+External Force(aiding) '-Payload friction force '-Guide friction force (payload side) '-Ballscrew Preload Torque '-Ball screw bearing drag torque</t>
  </si>
  <si>
    <t>Vertical/inclined, no counterbalance, movement direction = against gravity</t>
  </si>
  <si>
    <t>+External Force(opposing) '-External Force(aiding) '+Gravitational Force '+Payload friction force '+Guide friction force (payload side) '+Ballscrew Preload Torque '+Ball screw bearing drag torque</t>
  </si>
  <si>
    <t>-External Force(opposing) '+External Force(aiding) '-Gravitational Force '-Payload friction force '-Guide friction force (payload side) '-Ballscrew Preload Torque '-Ball screw bearing drag torque</t>
  </si>
  <si>
    <t>Vertical/inclined, no counterbalance, movement direction = gravity aided</t>
  </si>
  <si>
    <t>+External Force(opposing) '-External Force(aiding) '-Gravitational Force '+Payload friction force '+Guide friction force (payload side) '+Ballscrew Preload Torque '+Ball screw bearing drag torque</t>
  </si>
  <si>
    <t>-External Force(opposing) '+External Force(aiding) '+Gravitational Force '-Payload friction force '-Guide friction force (payload side) '-Ballscrew Preload Torque '-Ball screw bearing drag torque</t>
  </si>
  <si>
    <t>Vertical/inclined, counterbalance exists = yes, movement direction = against gravity</t>
  </si>
  <si>
    <t>+External Force(opposing) '-External Force(aiding) '+Gravitational Force '+Payload friction force '+Guide friction force (payload side) '+Guide friction force(counterbalance side) '-Counter balance force '+Ballscrew Preload Torque '+Ball screw bearing drag torque</t>
  </si>
  <si>
    <t>-External Force(opposing) '+External Force(aiding) '-Gravitational Force '-Payload friction force '-Guide friction force (payload side) '-Guide friction force(counterbalance side) '+Counter balance force '-Ballscrew Preload Torque '-Ball screw bearing drag torque</t>
  </si>
  <si>
    <t>Vertical/inclined, counterbalance exists = yes, movement direction = gravity aided</t>
  </si>
  <si>
    <t>+External Force(opposing) '-External Force(aiding) '-Gravitational Force '+Payload friction force '+Guide friction force (payload side) '+Guide friction force(counterbalance side) '+Counter balance force '+Ballscrew Preload Torque '+Ball screw bearing drag torque</t>
  </si>
  <si>
    <t>-External Force(opposing) '+External Force(aiding) '+Gravitational Force '-Payload friction force '-Guide friction force (payload side) '-Guide friction force(counterbalance side) '-Counter balance force '-Ballscrew Preload Torque '-Ball screw bearing drag torque</t>
  </si>
  <si>
    <t>RPM @ ballscrew shaft</t>
  </si>
  <si>
    <t>rpm</t>
  </si>
  <si>
    <t>required rpm @ ballscrew shaft = calculated Topspeed/ballscrew pitch</t>
  </si>
  <si>
    <t>Topspeed required</t>
  </si>
  <si>
    <t>m/min</t>
  </si>
  <si>
    <t>mm/sec</t>
  </si>
  <si>
    <t>rps</t>
  </si>
  <si>
    <t>max rev/sec = R/(t-(0.5*(ta+td)))</t>
  </si>
  <si>
    <t>Displacement</t>
  </si>
  <si>
    <t>S</t>
  </si>
  <si>
    <t>Time available for displacement</t>
  </si>
  <si>
    <t>t</t>
  </si>
  <si>
    <t>sec</t>
  </si>
  <si>
    <t>Time for movement = ta+ tc+td</t>
  </si>
  <si>
    <t>time for acceleration</t>
  </si>
  <si>
    <t>ta</t>
  </si>
  <si>
    <t>time for decceleration</t>
  </si>
  <si>
    <t>td</t>
  </si>
  <si>
    <t>time for constant speed</t>
  </si>
  <si>
    <t>tc</t>
  </si>
  <si>
    <t>ballscrew lead</t>
  </si>
  <si>
    <t>req. rotations to reach displacement</t>
  </si>
  <si>
    <t>R</t>
  </si>
  <si>
    <t>rev</t>
  </si>
  <si>
    <t>Acceleration torque @ ballscrew shaft</t>
  </si>
  <si>
    <t>Acceleration Torque = Load inertia *(rotational speed/9.55*acceleration time)</t>
  </si>
  <si>
    <t>Total Acceleration Torque</t>
  </si>
  <si>
    <t>Ta</t>
  </si>
  <si>
    <t>Load inertia</t>
  </si>
  <si>
    <t>JL</t>
  </si>
  <si>
    <t>kg-m2</t>
  </si>
  <si>
    <t>Load inertia = inertia due to linear mass + inertia due to rotational mass</t>
  </si>
  <si>
    <t>Inertia due to linear mass</t>
  </si>
  <si>
    <t>Jlm</t>
  </si>
  <si>
    <t>Inertia due to linear mass = Total linear mass*(square(ballscrew lead/(2*pi))</t>
  </si>
  <si>
    <t>1.1.1</t>
  </si>
  <si>
    <t>Total linear mass</t>
  </si>
  <si>
    <t>1.1.2</t>
  </si>
  <si>
    <t>Ball screw lead</t>
  </si>
  <si>
    <t>Inertia due to rotational mass</t>
  </si>
  <si>
    <t>Jrm</t>
  </si>
  <si>
    <t>Rotational mass inertia = (pi/32)*density*Lb*(Db^4)</t>
  </si>
  <si>
    <t>Ball screw length</t>
  </si>
  <si>
    <t>Lb</t>
  </si>
  <si>
    <t>Ballscrew diameter</t>
  </si>
  <si>
    <t>Db</t>
  </si>
  <si>
    <t>Ballscrew material</t>
  </si>
  <si>
    <t>Mildsteel</t>
  </si>
  <si>
    <t>MS</t>
  </si>
  <si>
    <t>Material density</t>
  </si>
  <si>
    <t>kg/m3</t>
  </si>
  <si>
    <t>SS</t>
  </si>
  <si>
    <t>Al</t>
  </si>
  <si>
    <t>max rotational speed</t>
  </si>
  <si>
    <t>acceleration time</t>
  </si>
  <si>
    <t>Decceleration torque @ ballscrew shaft</t>
  </si>
  <si>
    <t>Decceleration Torque = Load inertia *(rotational speed/9.55*decceleration time)</t>
  </si>
  <si>
    <t>Total Decceleration Torque</t>
  </si>
  <si>
    <t>Total Torque required @ ballscrew shaft for 0deg inclination and no counter balance</t>
  </si>
  <si>
    <t>Torque during acceleration</t>
  </si>
  <si>
    <t>Acceleration torque</t>
  </si>
  <si>
    <t>Torque during Topspeed</t>
  </si>
  <si>
    <t>Torque during Decceleration</t>
  </si>
  <si>
    <t>Decceleration Torque</t>
  </si>
  <si>
    <t>Td</t>
  </si>
  <si>
    <t>Torque during Idle time</t>
  </si>
  <si>
    <t>Ti</t>
  </si>
  <si>
    <t>Total Torque required @ ballscrew shaft for &gt;0deg inclination and no counter balance</t>
  </si>
  <si>
    <t>upward movement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</si>
</sst>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0"/>
    <numFmt numFmtId="177" formatCode="0.00000"/>
    <numFmt numFmtId="178" formatCode="0.000000"/>
    <numFmt numFmtId="179" formatCode="0.0"/>
    <numFmt numFmtId="180" formatCode="0.000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4"/>
      <color rgb="FFFFFFFF"/>
      <name val="Carlito"/>
      <charset val="134"/>
    </font>
    <font>
      <sz val="11"/>
      <color theme="1"/>
      <name val="Carlito"/>
      <charset val="134"/>
    </font>
    <font>
      <i/>
      <sz val="11"/>
      <color theme="1"/>
      <name val="Carlito"/>
      <charset val="134"/>
    </font>
    <font>
      <b/>
      <sz val="11"/>
      <color rgb="FFFFFFFF"/>
      <name val="Carlito"/>
      <charset val="134"/>
    </font>
    <font>
      <sz val="11"/>
      <color rgb="FF000000"/>
      <name val="Carlito"/>
      <charset val="134"/>
    </font>
    <font>
      <sz val="11"/>
      <color rgb="FF6B7280"/>
      <name val="Carlito"/>
      <charset val="134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747474"/>
        <bgColor rgb="FF747474"/>
      </patternFill>
    </fill>
    <fill>
      <patternFill patternType="solid">
        <fgColor rgb="FFC0E6F5"/>
        <bgColor rgb="FFC0E6F5"/>
      </patternFill>
    </fill>
    <fill>
      <patternFill patternType="solid">
        <fgColor rgb="FFF3F4F6"/>
        <bgColor rgb="FFF3F4F6"/>
      </patternFill>
    </fill>
    <fill>
      <patternFill patternType="solid">
        <fgColor rgb="FF92D050"/>
        <bgColor rgb="FF92D050"/>
      </patternFill>
    </fill>
    <fill>
      <patternFill patternType="solid">
        <fgColor rgb="FFAEABAB"/>
        <bgColor rgb="FFAEABAB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5" borderId="8" applyNumberFormat="0" applyAlignment="0" applyProtection="0">
      <alignment vertical="center"/>
    </xf>
    <xf numFmtId="0" fontId="20" fillId="16" borderId="9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22" fillId="17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</cellStyleXfs>
  <cellXfs count="69">
    <xf numFmtId="0" fontId="0" fillId="0" borderId="0" xfId="0" applyFont="1" applyAlignment="1"/>
    <xf numFmtId="0" fontId="0" fillId="0" borderId="1" xfId="0" applyBorder="1" applyAlignment="1">
      <alignment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wrapText="1" readingOrder="1"/>
    </xf>
    <xf numFmtId="0" fontId="0" fillId="0" borderId="1" xfId="0" applyBorder="1" applyAlignment="1">
      <alignment horizontal="right" wrapText="1" readingOrder="1"/>
    </xf>
    <xf numFmtId="0" fontId="0" fillId="2" borderId="1" xfId="0" applyFill="1" applyBorder="1" applyAlignment="1">
      <alignment horizontal="right" wrapText="1" readingOrder="1"/>
    </xf>
    <xf numFmtId="0" fontId="2" fillId="0" borderId="0" xfId="0" applyFont="1" applyAlignment="1">
      <alignment horizontal="left" vertical="center" wrapText="1"/>
    </xf>
    <xf numFmtId="0" fontId="2" fillId="0" borderId="0" xfId="0" applyFont="1"/>
    <xf numFmtId="0" fontId="1" fillId="3" borderId="0" xfId="0" applyFont="1" applyFill="1" applyAlignment="1"/>
    <xf numFmtId="0" fontId="1" fillId="3" borderId="0" xfId="0" applyFont="1" applyFill="1"/>
    <xf numFmtId="176" fontId="1" fillId="3" borderId="0" xfId="0" applyNumberFormat="1" applyFont="1" applyFill="1"/>
    <xf numFmtId="177" fontId="0" fillId="4" borderId="0" xfId="0" applyNumberFormat="1" applyFont="1" applyFill="1"/>
    <xf numFmtId="178" fontId="0" fillId="4" borderId="0" xfId="0" applyNumberFormat="1" applyFont="1" applyFill="1"/>
    <xf numFmtId="0" fontId="0" fillId="0" borderId="0" xfId="0" applyFont="1"/>
    <xf numFmtId="0" fontId="3" fillId="0" borderId="0" xfId="0" applyFont="1" applyAlignment="1">
      <alignment horizontal="left" vertical="center"/>
    </xf>
    <xf numFmtId="0" fontId="0" fillId="5" borderId="0" xfId="0" applyFont="1" applyFill="1"/>
    <xf numFmtId="0" fontId="0" fillId="5" borderId="0" xfId="0" applyFont="1" applyFill="1" applyAlignment="1"/>
    <xf numFmtId="1" fontId="0" fillId="0" borderId="0" xfId="0" applyNumberFormat="1" applyFont="1"/>
    <xf numFmtId="0" fontId="0" fillId="6" borderId="0" xfId="0" applyFont="1" applyFill="1"/>
    <xf numFmtId="0" fontId="0" fillId="6" borderId="0" xfId="0" applyFont="1" applyFill="1" applyAlignment="1"/>
    <xf numFmtId="1" fontId="0" fillId="4" borderId="0" xfId="0" applyNumberFormat="1" applyFont="1" applyFill="1"/>
    <xf numFmtId="2" fontId="0" fillId="4" borderId="0" xfId="0" applyNumberFormat="1" applyFont="1" applyFill="1"/>
    <xf numFmtId="2" fontId="0" fillId="6" borderId="0" xfId="0" applyNumberFormat="1" applyFont="1" applyFill="1" applyAlignment="1"/>
    <xf numFmtId="0" fontId="4" fillId="7" borderId="0" xfId="0" applyFont="1" applyFill="1" applyAlignment="1">
      <alignment horizontal="center"/>
    </xf>
    <xf numFmtId="0" fontId="5" fillId="8" borderId="0" xfId="0" applyFont="1" applyFill="1" applyAlignment="1">
      <alignment horizontal="left"/>
    </xf>
    <xf numFmtId="0" fontId="6" fillId="8" borderId="0" xfId="0" applyFont="1" applyFill="1" applyAlignment="1">
      <alignment horizontal="center"/>
    </xf>
    <xf numFmtId="0" fontId="5" fillId="0" borderId="0" xfId="0" applyFont="1" applyAlignment="1"/>
    <xf numFmtId="0" fontId="7" fillId="9" borderId="2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8" fillId="10" borderId="2" xfId="0" applyFont="1" applyFill="1" applyBorder="1" applyAlignment="1"/>
    <xf numFmtId="0" fontId="8" fillId="10" borderId="3" xfId="0" applyFont="1" applyFill="1" applyBorder="1" applyAlignment="1"/>
    <xf numFmtId="0" fontId="9" fillId="11" borderId="3" xfId="0" applyFont="1" applyFill="1" applyBorder="1" applyAlignment="1"/>
    <xf numFmtId="0" fontId="8" fillId="10" borderId="4" xfId="0" applyFont="1" applyFill="1" applyBorder="1" applyAlignment="1"/>
    <xf numFmtId="0" fontId="8" fillId="0" borderId="2" xfId="0" applyFont="1" applyBorder="1" applyAlignment="1"/>
    <xf numFmtId="0" fontId="8" fillId="0" borderId="3" xfId="0" applyFont="1" applyBorder="1" applyAlignment="1"/>
    <xf numFmtId="0" fontId="8" fillId="0" borderId="4" xfId="0" applyFont="1" applyBorder="1" applyAlignment="1"/>
    <xf numFmtId="0" fontId="7" fillId="7" borderId="2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left" vertical="center"/>
    </xf>
    <xf numFmtId="0" fontId="5" fillId="0" borderId="0" xfId="0" applyFont="1" applyAlignment="1">
      <alignment vertical="top"/>
    </xf>
    <xf numFmtId="0" fontId="10" fillId="0" borderId="3" xfId="0" applyFont="1" applyBorder="1"/>
    <xf numFmtId="0" fontId="10" fillId="0" borderId="4" xfId="0" applyFont="1" applyBorder="1"/>
    <xf numFmtId="0" fontId="3" fillId="0" borderId="0" xfId="0" applyFont="1" applyAlignment="1">
      <alignment horizontal="left" vertical="center" wrapText="1"/>
    </xf>
    <xf numFmtId="0" fontId="1" fillId="0" borderId="0" xfId="0" applyFont="1" applyAlignment="1"/>
    <xf numFmtId="2" fontId="1" fillId="4" borderId="0" xfId="0" applyNumberFormat="1" applyFont="1" applyFill="1"/>
    <xf numFmtId="0" fontId="2" fillId="0" borderId="0" xfId="0" applyFont="1" applyAlignment="1">
      <alignment horizontal="center" vertical="center"/>
    </xf>
    <xf numFmtId="0" fontId="1" fillId="0" borderId="0" xfId="0" applyFont="1"/>
    <xf numFmtId="179" fontId="2" fillId="0" borderId="0" xfId="0" applyNumberFormat="1" applyFont="1"/>
    <xf numFmtId="0" fontId="2" fillId="0" borderId="0" xfId="0" applyFont="1" applyAlignment="1"/>
    <xf numFmtId="0" fontId="0" fillId="0" borderId="0" xfId="0" applyFont="1" applyAlignment="1">
      <alignment horizontal="center" vertical="center"/>
    </xf>
    <xf numFmtId="0" fontId="3" fillId="12" borderId="0" xfId="0" applyFont="1" applyFill="1" applyBorder="1"/>
    <xf numFmtId="0" fontId="3" fillId="4" borderId="0" xfId="0" applyFont="1" applyFill="1" applyBorder="1"/>
    <xf numFmtId="179" fontId="3" fillId="0" borderId="0" xfId="0" applyNumberFormat="1" applyFont="1" applyAlignment="1">
      <alignment horizontal="center" vertical="center"/>
    </xf>
    <xf numFmtId="179" fontId="3" fillId="4" borderId="0" xfId="0" applyNumberFormat="1" applyFont="1" applyFill="1" applyBorder="1" applyAlignment="1">
      <alignment horizontal="center" vertical="center"/>
    </xf>
    <xf numFmtId="0" fontId="3" fillId="12" borderId="0" xfId="0" applyFont="1" applyFill="1" applyBorder="1" applyAlignment="1"/>
    <xf numFmtId="0" fontId="3" fillId="0" borderId="0" xfId="0" applyFont="1"/>
    <xf numFmtId="0" fontId="3" fillId="13" borderId="0" xfId="0" applyFont="1" applyFill="1" applyBorder="1"/>
    <xf numFmtId="2" fontId="3" fillId="0" borderId="0" xfId="0" applyNumberFormat="1" applyFont="1"/>
    <xf numFmtId="2" fontId="3" fillId="4" borderId="0" xfId="0" applyNumberFormat="1" applyFont="1" applyFill="1" applyBorder="1"/>
    <xf numFmtId="0" fontId="0" fillId="4" borderId="0" xfId="0" applyFont="1" applyFill="1"/>
    <xf numFmtId="0" fontId="3" fillId="0" borderId="0" xfId="0" applyFont="1" applyAlignment="1"/>
    <xf numFmtId="0" fontId="3" fillId="4" borderId="0" xfId="0" applyFont="1" applyFill="1"/>
    <xf numFmtId="179" fontId="3" fillId="4" borderId="0" xfId="0" applyNumberFormat="1" applyFont="1" applyFill="1" applyBorder="1"/>
    <xf numFmtId="179" fontId="3" fillId="0" borderId="0" xfId="0" applyNumberFormat="1" applyFont="1"/>
    <xf numFmtId="0" fontId="3" fillId="12" borderId="0" xfId="0" applyFont="1" applyFill="1" applyBorder="1" applyAlignment="1">
      <alignment vertical="center"/>
    </xf>
    <xf numFmtId="2" fontId="3" fillId="4" borderId="0" xfId="0" applyNumberFormat="1" applyFont="1" applyFill="1" applyBorder="1" applyAlignment="1">
      <alignment horizontal="center" vertical="center"/>
    </xf>
    <xf numFmtId="180" fontId="3" fillId="4" borderId="0" xfId="0" applyNumberFormat="1" applyFont="1" applyFill="1" applyBorder="1"/>
    <xf numFmtId="0" fontId="3" fillId="0" borderId="0" xfId="0" applyFont="1" quotePrefix="1"/>
    <xf numFmtId="0" fontId="5" fillId="8" borderId="0" xfId="0" applyFont="1" applyFill="1" applyAlignment="1" quotePrefix="1">
      <alignment horizontal="left"/>
    </xf>
    <xf numFmtId="0" fontId="8" fillId="10" borderId="3" xfId="0" applyFont="1" applyFill="1" applyBorder="1" applyAlignment="1" quotePrefix="1"/>
    <xf numFmtId="0" fontId="8" fillId="0" borderId="3" xfId="0" applyFont="1" applyBorder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13</xdr:col>
      <xdr:colOff>190500</xdr:colOff>
      <xdr:row>2</xdr:row>
      <xdr:rowOff>9525</xdr:rowOff>
    </xdr:from>
    <xdr:ext cx="2981325" cy="3552825"/>
    <xdr:pic>
      <xdr:nvPicPr>
        <xdr:cNvPr id="2" name="image2.png" title="Image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050770" y="438785"/>
          <a:ext cx="2981325" cy="3552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46"/>
  <sheetViews>
    <sheetView topLeftCell="A36" workbookViewId="0">
      <selection activeCell="C55" sqref="C55"/>
    </sheetView>
  </sheetViews>
  <sheetFormatPr defaultColWidth="14.4296875" defaultRowHeight="15" customHeight="1"/>
  <cols>
    <col min="1" max="1" width="8.7109375" customWidth="1"/>
    <col min="2" max="2" width="33.7109375" customWidth="1"/>
    <col min="3" max="4" width="8.7109375" customWidth="1"/>
    <col min="5" max="5" width="19.2890625" customWidth="1"/>
    <col min="6" max="9" width="8.7109375" customWidth="1"/>
    <col min="10" max="10" width="13.7109375" customWidth="1"/>
    <col min="11" max="11" width="25.140625" customWidth="1"/>
    <col min="12" max="12" width="15.140625" customWidth="1"/>
    <col min="13" max="13" width="14.859375" customWidth="1"/>
    <col min="14" max="14" width="18.7109375" customWidth="1"/>
    <col min="15" max="15" width="17.2890625" customWidth="1"/>
    <col min="16" max="16" width="18.4296875" customWidth="1"/>
    <col min="17" max="17" width="13.5703125" customWidth="1"/>
    <col min="18" max="18" width="19.7109375" customWidth="1"/>
    <col min="19" max="19" width="27.859375" customWidth="1"/>
    <col min="20" max="27" width="8.7109375" customWidth="1"/>
  </cols>
  <sheetData>
    <row r="1" ht="16.8" spans="1:6">
      <c r="B1" s="44"/>
    </row>
    <row r="2" ht="17" spans="1:6">
      <c r="B2" s="44" t="s">
        <v>0</v>
      </c>
      <c r="C2" s="13" t="s">
        <v>1</v>
      </c>
    </row>
    <row r="3" ht="16.8" spans="1:6">
      <c r="B3" s="44"/>
    </row>
    <row r="4" ht="16.8" spans="1:6">
      <c r="B4" s="44"/>
    </row>
    <row r="5" ht="16.8" spans="1:6">
      <c r="B5" s="44"/>
    </row>
    <row r="6" ht="17" spans="1:6">
      <c r="A6" s="13">
        <v>1.1</v>
      </c>
      <c r="B6" s="44" t="s">
        <v>2</v>
      </c>
    </row>
    <row r="7" ht="17" spans="1:6">
      <c r="A7" s="13">
        <v>1.2</v>
      </c>
      <c r="B7" s="44" t="s">
        <v>3</v>
      </c>
    </row>
    <row r="8" ht="17" spans="1:6">
      <c r="A8" s="13">
        <v>1.3</v>
      </c>
      <c r="B8" s="44" t="s">
        <v>4</v>
      </c>
    </row>
    <row r="9" ht="16.8" spans="1:6">
      <c r="B9" s="44"/>
    </row>
    <row r="10" ht="16.8" spans="1:6">
      <c r="B10" s="44"/>
    </row>
    <row r="11" ht="15.75" customHeight="1" spans="1:6">
      <c r="B11" s="44"/>
    </row>
    <row r="12" ht="15.75" customHeight="1" spans="1:6">
      <c r="B12" s="44"/>
    </row>
    <row r="13" ht="15.75" customHeight="1" spans="1:6">
      <c r="B13" s="6" t="s">
        <v>5</v>
      </c>
      <c r="C13" s="7" t="s">
        <v>6</v>
      </c>
      <c r="D13" s="7" t="s">
        <v>7</v>
      </c>
      <c r="E13" s="7" t="s">
        <v>8</v>
      </c>
      <c r="F13" s="7" t="s">
        <v>9</v>
      </c>
    </row>
    <row r="14" ht="15.75" customHeight="1"/>
    <row r="15" ht="15.75" customHeight="1" spans="1:6">
      <c r="B15" s="44"/>
    </row>
    <row r="16" ht="15.75" customHeight="1" spans="1:6">
      <c r="B16" s="6" t="s">
        <v>10</v>
      </c>
      <c r="C16" s="45" t="s">
        <v>11</v>
      </c>
      <c r="D16" s="45" t="s">
        <v>12</v>
      </c>
      <c r="E16" s="46">
        <f>E74+E82+E88</f>
        <v>0.0650197008646317</v>
      </c>
      <c r="F16" s="14" t="s">
        <v>13</v>
      </c>
    </row>
    <row r="17" ht="15.75" customHeight="1" spans="1:27">
      <c r="B17" s="44"/>
    </row>
    <row r="18" ht="15.75" customHeight="1" spans="1:27">
      <c r="B18" s="44"/>
      <c r="N18" s="47"/>
      <c r="P18" s="47"/>
      <c r="R18" s="48"/>
      <c r="S18" s="48"/>
    </row>
    <row r="19" ht="15.75" customHeight="1" spans="1:27">
      <c r="A19" s="7">
        <v>1</v>
      </c>
      <c r="B19" s="6" t="s">
        <v>14</v>
      </c>
      <c r="C19" s="7" t="s">
        <v>15</v>
      </c>
      <c r="D19" s="7" t="s">
        <v>16</v>
      </c>
      <c r="E19" s="49">
        <f>E23+E28+E46+E58</f>
        <v>15.4437794130126</v>
      </c>
      <c r="F19" s="7"/>
      <c r="G19" s="7"/>
      <c r="H19" s="7"/>
      <c r="I19" s="7"/>
      <c r="J19" s="7"/>
      <c r="K19" s="7"/>
      <c r="L19" s="7"/>
      <c r="M19" s="7"/>
      <c r="N19" s="45"/>
      <c r="O19" s="45"/>
      <c r="P19" s="45"/>
      <c r="Q19" s="50"/>
      <c r="R19" s="50"/>
      <c r="S19" s="50"/>
      <c r="T19" s="7"/>
      <c r="U19" s="7"/>
      <c r="V19" s="7"/>
      <c r="W19" s="7"/>
      <c r="X19" s="7"/>
      <c r="Y19" s="7"/>
      <c r="Z19" s="7"/>
      <c r="AA19" s="7"/>
    </row>
    <row r="20" ht="15.75" customHeight="1" spans="1:27">
      <c r="B20" s="14" t="s">
        <v>17</v>
      </c>
      <c r="C20" s="7"/>
      <c r="D20" s="7"/>
      <c r="E20" s="7"/>
      <c r="F20" s="7"/>
      <c r="K20" s="7"/>
      <c r="L20" s="7"/>
      <c r="M20" s="7"/>
      <c r="N20" s="51"/>
      <c r="O20" s="51"/>
      <c r="P20" s="51"/>
      <c r="Q20" s="51"/>
      <c r="R20" s="51"/>
      <c r="S20" s="51"/>
      <c r="T20" s="51"/>
    </row>
    <row r="21" ht="15.75" customHeight="1" spans="1:27">
      <c r="B21" s="6"/>
      <c r="C21" s="7"/>
      <c r="D21" s="7"/>
      <c r="E21" s="7"/>
      <c r="F21" s="7"/>
      <c r="K21" s="7"/>
      <c r="L21" s="7"/>
      <c r="M21" s="7"/>
      <c r="N21" s="51"/>
      <c r="O21" s="51"/>
      <c r="P21" s="51"/>
      <c r="Q21" s="51"/>
      <c r="R21" s="51"/>
      <c r="S21" s="51"/>
      <c r="T21" s="51"/>
    </row>
    <row r="22" ht="15.75" customHeight="1" spans="1:27">
      <c r="A22" s="13">
        <v>1.1</v>
      </c>
      <c r="B22" s="44" t="s">
        <v>18</v>
      </c>
      <c r="D22" s="13" t="s">
        <v>16</v>
      </c>
      <c r="E22" s="52">
        <v>5</v>
      </c>
      <c r="K22" s="7"/>
      <c r="L22" s="7"/>
      <c r="M22" s="7"/>
      <c r="N22" s="51"/>
      <c r="O22" s="51"/>
      <c r="P22" s="51"/>
      <c r="Q22" s="51"/>
      <c r="R22" s="51"/>
      <c r="S22" s="51"/>
      <c r="T22" s="51"/>
    </row>
    <row r="23" ht="15.75" customHeight="1" spans="1:27">
      <c r="B23" s="44"/>
      <c r="E23" s="53">
        <f>IF(E24="aiding movement",-E22,+E22)</f>
        <v>5</v>
      </c>
      <c r="F23" t="s">
        <v>19</v>
      </c>
      <c r="K23" s="7"/>
      <c r="L23" s="7"/>
      <c r="M23" s="7"/>
    </row>
    <row r="24" ht="15.75" customHeight="1" spans="1:27">
      <c r="B24" s="44" t="s">
        <v>20</v>
      </c>
      <c r="E24" s="52" t="s">
        <v>21</v>
      </c>
      <c r="K24" s="7"/>
      <c r="L24" s="7"/>
      <c r="M24" s="7"/>
    </row>
    <row r="25" ht="15.75" customHeight="1" spans="1:27">
      <c r="B25" s="44"/>
      <c r="K25" s="7"/>
      <c r="L25" s="7"/>
      <c r="M25" s="7"/>
    </row>
    <row r="26" ht="15.75" customHeight="1" spans="1:27">
      <c r="B26" s="44"/>
      <c r="K26" s="7"/>
      <c r="L26" s="7"/>
      <c r="M26" s="7"/>
    </row>
    <row r="27" ht="15.75" customHeight="1" spans="1:27">
      <c r="A27" s="13">
        <v>1.2</v>
      </c>
      <c r="B27" s="44" t="s">
        <v>22</v>
      </c>
      <c r="C27" s="13" t="s">
        <v>23</v>
      </c>
      <c r="D27" s="13" t="s">
        <v>16</v>
      </c>
      <c r="E27" s="54">
        <f>E32*E41*SIN(E43)</f>
        <v>41.2873426995151</v>
      </c>
      <c r="K27" s="7"/>
      <c r="L27" s="7"/>
      <c r="M27" s="7"/>
    </row>
    <row r="28" ht="15.75" customHeight="1" spans="1:27">
      <c r="B28" s="44"/>
      <c r="E28" s="55">
        <f>IF(E30="gravity aided",-E27,+E27)</f>
        <v>41.2873426995151</v>
      </c>
      <c r="F28" t="s">
        <v>19</v>
      </c>
      <c r="K28" s="7"/>
      <c r="L28" s="7"/>
      <c r="M28" s="7"/>
    </row>
    <row r="29" ht="15.75" customHeight="1" spans="1:27">
      <c r="B29" s="14" t="s">
        <v>24</v>
      </c>
      <c r="K29" s="7"/>
      <c r="L29" s="7"/>
      <c r="M29" s="7"/>
    </row>
    <row r="30" ht="15.75" customHeight="1" spans="1:27">
      <c r="B30" s="44" t="s">
        <v>25</v>
      </c>
      <c r="E30" s="56" t="s">
        <v>26</v>
      </c>
      <c r="K30" s="7"/>
      <c r="L30" s="7"/>
      <c r="M30" s="7"/>
    </row>
    <row r="31" ht="15.75" customHeight="1" spans="1:27">
      <c r="B31" s="44"/>
      <c r="K31" s="7"/>
      <c r="L31" s="7"/>
      <c r="M31" s="7"/>
    </row>
    <row r="32" ht="15.75" customHeight="1" spans="1:27">
      <c r="A32" s="13" t="s">
        <v>27</v>
      </c>
      <c r="B32" s="44" t="s">
        <v>28</v>
      </c>
      <c r="C32" s="13" t="s">
        <v>29</v>
      </c>
      <c r="D32" s="13" t="s">
        <v>30</v>
      </c>
      <c r="E32" s="53">
        <f>E35+E36+E37+(E38*E39)</f>
        <v>5.952</v>
      </c>
    </row>
    <row r="33" ht="15.75" customHeight="1" spans="1:11">
      <c r="B33" s="44"/>
    </row>
    <row r="34" ht="15.75" customHeight="1" spans="1:11">
      <c r="B34" s="14" t="s">
        <v>31</v>
      </c>
    </row>
    <row r="35" ht="15.75" customHeight="1" spans="1:11">
      <c r="B35" s="44" t="s">
        <v>32</v>
      </c>
      <c r="C35" s="13" t="s">
        <v>33</v>
      </c>
      <c r="D35" s="13" t="s">
        <v>30</v>
      </c>
      <c r="E35" s="56">
        <v>5</v>
      </c>
    </row>
    <row r="36" ht="15.75" customHeight="1" spans="1:11">
      <c r="B36" s="44" t="s">
        <v>34</v>
      </c>
      <c r="C36" s="13" t="s">
        <v>35</v>
      </c>
      <c r="D36" s="13" t="s">
        <v>30</v>
      </c>
      <c r="E36" s="52">
        <v>0.5</v>
      </c>
      <c r="J36" s="13" t="s">
        <v>36</v>
      </c>
      <c r="K36" s="13" t="s">
        <v>37</v>
      </c>
    </row>
    <row r="37" ht="15.75" customHeight="1" spans="1:11">
      <c r="B37" s="44" t="s">
        <v>38</v>
      </c>
      <c r="C37" s="13" t="s">
        <v>39</v>
      </c>
      <c r="D37" s="13" t="s">
        <v>30</v>
      </c>
      <c r="E37" s="52">
        <v>0.052</v>
      </c>
      <c r="J37" s="13" t="s">
        <v>40</v>
      </c>
      <c r="K37" s="13" t="s">
        <v>41</v>
      </c>
    </row>
    <row r="38" ht="15.75" customHeight="1" spans="1:11">
      <c r="B38" s="44" t="s">
        <v>42</v>
      </c>
      <c r="C38" s="13" t="s">
        <v>43</v>
      </c>
      <c r="D38" s="13" t="s">
        <v>44</v>
      </c>
      <c r="E38" s="52">
        <v>0.2</v>
      </c>
      <c r="F38" s="13" t="s">
        <v>45</v>
      </c>
      <c r="J38" s="13" t="s">
        <v>46</v>
      </c>
      <c r="K38" s="13" t="s">
        <v>47</v>
      </c>
    </row>
    <row r="39" ht="15.75" customHeight="1" spans="1:11">
      <c r="B39" s="44" t="s">
        <v>48</v>
      </c>
      <c r="D39" s="69" t="s">
        <v>49</v>
      </c>
      <c r="E39" s="52">
        <v>2</v>
      </c>
    </row>
    <row r="40" ht="15.75" customHeight="1" spans="1:11">
      <c r="B40" s="44"/>
    </row>
    <row r="41" ht="15.75" customHeight="1" spans="1:11">
      <c r="A41" s="13" t="s">
        <v>50</v>
      </c>
      <c r="B41" s="44" t="s">
        <v>51</v>
      </c>
      <c r="C41" s="13" t="s">
        <v>52</v>
      </c>
      <c r="D41" s="13" t="s">
        <v>53</v>
      </c>
      <c r="E41" s="58">
        <v>9.81</v>
      </c>
    </row>
    <row r="42" ht="15.75" customHeight="1" spans="1:11">
      <c r="A42" s="13" t="s">
        <v>54</v>
      </c>
      <c r="B42" s="44" t="s">
        <v>55</v>
      </c>
      <c r="C42" s="13" t="s">
        <v>56</v>
      </c>
      <c r="D42" s="13" t="s">
        <v>57</v>
      </c>
      <c r="E42" s="56">
        <v>45</v>
      </c>
    </row>
    <row r="43" ht="15.75" customHeight="1" spans="1:11">
      <c r="B43" s="44"/>
      <c r="D43" s="13" t="s">
        <v>58</v>
      </c>
      <c r="E43" s="59">
        <f>RADIANS(E42)</f>
        <v>0.785398163397448</v>
      </c>
    </row>
    <row r="44" ht="15.75" customHeight="1" spans="1:11">
      <c r="A44" s="13" t="s">
        <v>59</v>
      </c>
      <c r="B44" s="44" t="s">
        <v>60</v>
      </c>
      <c r="C44" s="13" t="s">
        <v>61</v>
      </c>
      <c r="D44" s="69" t="s">
        <v>49</v>
      </c>
      <c r="E44" s="52">
        <v>0.005</v>
      </c>
    </row>
    <row r="45" ht="15.75" customHeight="1" spans="1:11">
      <c r="B45" s="44"/>
    </row>
    <row r="46" ht="15.75" customHeight="1" spans="1:11">
      <c r="A46" s="13">
        <v>1.3</v>
      </c>
      <c r="B46" s="44" t="s">
        <v>62</v>
      </c>
      <c r="C46" s="13" t="s">
        <v>63</v>
      </c>
      <c r="D46" s="13" t="s">
        <v>16</v>
      </c>
      <c r="E46" s="60">
        <f>E48+E50+E54</f>
        <v>18.2064367134976</v>
      </c>
      <c r="F46" t="s">
        <v>64</v>
      </c>
    </row>
    <row r="47" ht="15.75" customHeight="1" spans="1:11">
      <c r="B47" s="44"/>
    </row>
    <row r="48" ht="15.75" customHeight="1" spans="1:11">
      <c r="A48" t="s">
        <v>65</v>
      </c>
      <c r="B48" s="44" t="s">
        <v>66</v>
      </c>
      <c r="C48" t="s">
        <v>67</v>
      </c>
      <c r="D48" t="s">
        <v>16</v>
      </c>
      <c r="E48" s="21">
        <f>E32*E41*E44*COS(E43)</f>
        <v>0.206436713497575</v>
      </c>
      <c r="F48" t="s">
        <v>68</v>
      </c>
    </row>
    <row r="49" ht="15.75" customHeight="1" spans="1:27">
      <c r="B49" s="44"/>
      <c r="E49" s="18"/>
    </row>
    <row r="50" ht="15.75" customHeight="1" spans="1:27">
      <c r="A50" t="s">
        <v>69</v>
      </c>
      <c r="B50" s="44" t="s">
        <v>70</v>
      </c>
      <c r="C50" s="13" t="s">
        <v>71</v>
      </c>
      <c r="D50" s="13" t="s">
        <v>16</v>
      </c>
      <c r="E50" s="61">
        <f>E51*E52</f>
        <v>6</v>
      </c>
    </row>
    <row r="51" ht="15.75" customHeight="1" spans="1:27">
      <c r="B51" s="44" t="s">
        <v>72</v>
      </c>
      <c r="C51" s="13" t="s">
        <v>73</v>
      </c>
      <c r="D51" s="13" t="s">
        <v>16</v>
      </c>
      <c r="E51" s="52">
        <v>3</v>
      </c>
      <c r="F51" s="13" t="s">
        <v>45</v>
      </c>
    </row>
    <row r="52" ht="15.75" customHeight="1" spans="1:27">
      <c r="B52" s="44" t="s">
        <v>74</v>
      </c>
      <c r="D52" s="69" t="s">
        <v>49</v>
      </c>
      <c r="E52" s="57">
        <f>E39</f>
        <v>2</v>
      </c>
    </row>
    <row r="53" ht="15.75" customHeight="1" spans="1:27">
      <c r="A53" s="57"/>
      <c r="B53" s="44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</row>
    <row r="54" ht="15.75" customHeight="1" spans="1:27">
      <c r="A54" s="62" t="s">
        <v>75</v>
      </c>
      <c r="B54" s="44" t="s">
        <v>76</v>
      </c>
      <c r="C54" s="57" t="s">
        <v>77</v>
      </c>
      <c r="D54" s="69" t="s">
        <v>16</v>
      </c>
      <c r="E54" s="63">
        <f>IF(E63="yes",E55*E56,0)</f>
        <v>12</v>
      </c>
      <c r="F54" s="57" t="s">
        <v>78</v>
      </c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</row>
    <row r="55" ht="15.75" customHeight="1" spans="1:27">
      <c r="A55" s="57"/>
      <c r="B55" s="44" t="s">
        <v>79</v>
      </c>
      <c r="C55" s="13" t="s">
        <v>80</v>
      </c>
      <c r="D55" s="13" t="s">
        <v>16</v>
      </c>
      <c r="E55" s="52">
        <v>3</v>
      </c>
      <c r="F55" s="13" t="s">
        <v>81</v>
      </c>
      <c r="G55" s="57"/>
      <c r="H55" s="57"/>
      <c r="I55" s="57"/>
      <c r="J55" s="57" t="s">
        <v>82</v>
      </c>
      <c r="K55" s="57" t="s">
        <v>83</v>
      </c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ht="15.75" customHeight="1" spans="1:27">
      <c r="A56" s="57"/>
      <c r="B56" s="44" t="s">
        <v>84</v>
      </c>
      <c r="D56" s="69" t="s">
        <v>49</v>
      </c>
      <c r="E56" s="52">
        <v>4</v>
      </c>
      <c r="G56" s="57"/>
      <c r="H56" s="57"/>
      <c r="I56" s="57"/>
      <c r="J56" s="57" t="s">
        <v>85</v>
      </c>
      <c r="K56" s="13" t="s">
        <v>86</v>
      </c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</row>
    <row r="57" ht="15.75" customHeight="1" spans="1:27">
      <c r="B57" s="44"/>
    </row>
    <row r="58" ht="15.75" customHeight="1" spans="1:27">
      <c r="A58" s="13">
        <v>1.4</v>
      </c>
      <c r="B58" s="44" t="s">
        <v>87</v>
      </c>
      <c r="C58" s="13" t="s">
        <v>88</v>
      </c>
      <c r="D58" s="13" t="s">
        <v>16</v>
      </c>
      <c r="E58" s="64">
        <f>IF(E65="Assisting movement",-E59,+E59)</f>
        <v>-49.05</v>
      </c>
    </row>
    <row r="59" ht="15.75" customHeight="1" spans="1:27">
      <c r="B59" s="44"/>
      <c r="E59" s="65">
        <f>IF(E63="yes",E60,0)</f>
        <v>49.05</v>
      </c>
      <c r="F59" s="13" t="s">
        <v>89</v>
      </c>
    </row>
    <row r="60" ht="15.75" customHeight="1" spans="1:27">
      <c r="B60" s="44"/>
      <c r="E60" s="65">
        <f>E64*E68*(SIN(E70)+(E71*COS(E70)))</f>
        <v>49.05</v>
      </c>
      <c r="F60" s="13" t="s">
        <v>90</v>
      </c>
    </row>
    <row r="61" ht="15.75" customHeight="1" spans="1:27">
      <c r="B61" s="14" t="s">
        <v>91</v>
      </c>
    </row>
    <row r="62" ht="15.75" customHeight="1" spans="1:27">
      <c r="B62" s="14"/>
    </row>
    <row r="63" ht="15.75" customHeight="1" spans="1:27">
      <c r="A63" s="13" t="s">
        <v>92</v>
      </c>
      <c r="B63" s="14" t="s">
        <v>93</v>
      </c>
      <c r="E63" s="56" t="s">
        <v>94</v>
      </c>
    </row>
    <row r="64" ht="15.75" customHeight="1" spans="1:27">
      <c r="A64" s="13" t="s">
        <v>95</v>
      </c>
      <c r="B64" s="44" t="s">
        <v>96</v>
      </c>
      <c r="C64" s="13" t="s">
        <v>97</v>
      </c>
      <c r="D64" s="13" t="s">
        <v>30</v>
      </c>
      <c r="E64" s="56">
        <v>5</v>
      </c>
    </row>
    <row r="65" ht="15.75" customHeight="1" spans="1:6">
      <c r="A65" s="13" t="s">
        <v>98</v>
      </c>
      <c r="B65" s="44" t="s">
        <v>99</v>
      </c>
      <c r="E65" s="13" t="str">
        <f>IF(E30="gravity aided","resisting movement","Assisting movement")</f>
        <v>Assisting movement</v>
      </c>
      <c r="F65" s="13" t="s">
        <v>100</v>
      </c>
    </row>
    <row r="66" ht="15.75" customHeight="1" spans="1:6">
      <c r="B66" s="44"/>
      <c r="F66" s="13" t="s">
        <v>101</v>
      </c>
    </row>
    <row r="67" ht="15.75" customHeight="1" spans="1:6">
      <c r="B67" s="44"/>
      <c r="F67" s="13" t="s">
        <v>102</v>
      </c>
    </row>
    <row r="68" ht="15.75" customHeight="1" spans="1:6">
      <c r="B68" s="44" t="s">
        <v>51</v>
      </c>
      <c r="C68" s="13" t="s">
        <v>52</v>
      </c>
      <c r="D68" s="13" t="s">
        <v>53</v>
      </c>
      <c r="E68" s="58">
        <v>9.81</v>
      </c>
    </row>
    <row r="69" ht="15.75" customHeight="1" spans="1:6">
      <c r="A69" s="13" t="s">
        <v>103</v>
      </c>
      <c r="B69" s="44" t="s">
        <v>104</v>
      </c>
      <c r="C69" s="13" t="s">
        <v>56</v>
      </c>
      <c r="D69" s="13" t="s">
        <v>57</v>
      </c>
      <c r="E69" s="52">
        <v>90</v>
      </c>
    </row>
    <row r="70" ht="15.75" customHeight="1" spans="1:6">
      <c r="B70" s="44"/>
      <c r="D70" s="13" t="s">
        <v>105</v>
      </c>
      <c r="E70" s="59">
        <f>RADIANS(E69)</f>
        <v>1.5707963267949</v>
      </c>
    </row>
    <row r="71" ht="15.75" customHeight="1" spans="1:6">
      <c r="A71" s="13" t="s">
        <v>106</v>
      </c>
      <c r="B71" s="44" t="s">
        <v>107</v>
      </c>
      <c r="C71" s="13" t="s">
        <v>61</v>
      </c>
      <c r="D71" s="69" t="s">
        <v>49</v>
      </c>
      <c r="E71" s="66">
        <v>0.005</v>
      </c>
    </row>
    <row r="72" ht="15.75" customHeight="1" spans="1:6">
      <c r="B72" s="44"/>
    </row>
    <row r="73" ht="15.75" customHeight="1" spans="1:6">
      <c r="B73" s="44"/>
    </row>
    <row r="74" ht="15.75" customHeight="1" spans="1:6">
      <c r="A74" s="7">
        <v>2</v>
      </c>
      <c r="B74" s="6" t="s">
        <v>108</v>
      </c>
      <c r="C74" s="13" t="s">
        <v>109</v>
      </c>
      <c r="D74" s="13" t="s">
        <v>12</v>
      </c>
      <c r="E74" s="67">
        <f>(ABS(E19)*E78)/(2*PI()*E79)</f>
        <v>0.0129365991242201</v>
      </c>
    </row>
    <row r="75" ht="15.75" customHeight="1" spans="1:6">
      <c r="B75" s="14" t="s">
        <v>110</v>
      </c>
    </row>
    <row r="76" ht="15.75" customHeight="1" spans="1:6">
      <c r="B76" s="44"/>
    </row>
    <row r="77" ht="15.75" customHeight="1" spans="1:6">
      <c r="B77" s="44" t="s">
        <v>111</v>
      </c>
      <c r="C77" s="13" t="s">
        <v>112</v>
      </c>
      <c r="D77" s="13" t="s">
        <v>113</v>
      </c>
      <c r="E77" s="52">
        <v>5</v>
      </c>
      <c r="F77" s="13" t="s">
        <v>114</v>
      </c>
    </row>
    <row r="78" ht="15.75" customHeight="1" spans="1:6">
      <c r="B78" s="44"/>
      <c r="D78" s="13" t="s">
        <v>29</v>
      </c>
      <c r="E78" s="13">
        <f>E77/1000</f>
        <v>0.005</v>
      </c>
    </row>
    <row r="79" ht="15.75" customHeight="1" spans="1:6">
      <c r="B79" s="44" t="s">
        <v>115</v>
      </c>
      <c r="C79" s="13" t="s">
        <v>116</v>
      </c>
      <c r="D79" s="69" t="s">
        <v>49</v>
      </c>
      <c r="E79" s="52">
        <v>0.95</v>
      </c>
    </row>
    <row r="80" ht="15.75" customHeight="1" spans="1:6">
      <c r="B80" s="44"/>
    </row>
    <row r="81" ht="15.75" customHeight="1" spans="1:10">
      <c r="B81" s="44"/>
    </row>
    <row r="82" ht="15.75" customHeight="1" spans="1:10">
      <c r="A82" s="13">
        <v>3</v>
      </c>
      <c r="B82" s="6" t="s">
        <v>117</v>
      </c>
      <c r="C82" s="13" t="s">
        <v>118</v>
      </c>
      <c r="D82" s="13" t="s">
        <v>12</v>
      </c>
      <c r="E82" s="68">
        <f>(E84*E85*E86)/(2*PI())</f>
        <v>0.0370831017404116</v>
      </c>
      <c r="F82" s="13" t="s">
        <v>119</v>
      </c>
    </row>
    <row r="83" ht="15.75" customHeight="1" spans="1:10">
      <c r="B83" s="14" t="s">
        <v>120</v>
      </c>
    </row>
    <row r="84" ht="15.75" customHeight="1" spans="1:10">
      <c r="B84" s="44" t="s">
        <v>121</v>
      </c>
      <c r="C84" s="13" t="s">
        <v>122</v>
      </c>
      <c r="D84" s="69" t="s">
        <v>49</v>
      </c>
      <c r="E84" s="52">
        <v>0.2</v>
      </c>
    </row>
    <row r="85" ht="15.75" customHeight="1" spans="1:10">
      <c r="B85" s="44" t="s">
        <v>123</v>
      </c>
      <c r="C85" s="13" t="s">
        <v>124</v>
      </c>
      <c r="D85" s="13" t="s">
        <v>16</v>
      </c>
      <c r="E85" s="52">
        <v>233</v>
      </c>
    </row>
    <row r="86" ht="15.75" customHeight="1" spans="1:10">
      <c r="B86" s="44" t="s">
        <v>111</v>
      </c>
      <c r="C86" s="13" t="s">
        <v>112</v>
      </c>
      <c r="D86" s="13" t="s">
        <v>29</v>
      </c>
      <c r="E86" s="13">
        <f>E78</f>
        <v>0.005</v>
      </c>
    </row>
    <row r="87" ht="15.75" customHeight="1" spans="1:10">
      <c r="B87" s="44"/>
    </row>
    <row r="88" ht="15.75" customHeight="1" spans="1:10">
      <c r="A88" s="13">
        <v>4</v>
      </c>
      <c r="B88" s="6" t="s">
        <v>125</v>
      </c>
      <c r="E88" s="61">
        <f>E91+E95</f>
        <v>0.015</v>
      </c>
      <c r="I88" s="13" t="s">
        <v>126</v>
      </c>
      <c r="J88" s="13" t="s">
        <v>127</v>
      </c>
    </row>
    <row r="89" ht="15.75" customHeight="1" spans="1:10">
      <c r="B89" s="14" t="s">
        <v>128</v>
      </c>
      <c r="I89" s="13" t="s">
        <v>129</v>
      </c>
      <c r="J89" s="13" t="s">
        <v>130</v>
      </c>
    </row>
    <row r="90" ht="15.75" customHeight="1" spans="1:10">
      <c r="B90" s="44"/>
    </row>
    <row r="91" ht="15.75" customHeight="1" spans="1:10">
      <c r="A91">
        <v>4.1</v>
      </c>
      <c r="B91" s="44" t="s">
        <v>131</v>
      </c>
      <c r="E91" s="61">
        <f>E92*E93</f>
        <v>0.01</v>
      </c>
      <c r="F91" s="14" t="s">
        <v>132</v>
      </c>
    </row>
    <row r="92" ht="15.75" customHeight="1" spans="1:10">
      <c r="B92" s="44" t="s">
        <v>133</v>
      </c>
      <c r="E92" s="16">
        <v>1</v>
      </c>
    </row>
    <row r="93" ht="15.75" customHeight="1" spans="1:10">
      <c r="B93" s="44" t="s">
        <v>134</v>
      </c>
      <c r="D93" t="s">
        <v>12</v>
      </c>
      <c r="E93" s="16">
        <v>0.01</v>
      </c>
    </row>
    <row r="94" ht="15.75" customHeight="1" spans="1:10">
      <c r="B94" s="44"/>
      <c r="I94" t="s">
        <v>135</v>
      </c>
    </row>
    <row r="95" ht="15.75" customHeight="1" spans="1:10">
      <c r="A95">
        <v>4.2</v>
      </c>
      <c r="B95" s="44" t="s">
        <v>136</v>
      </c>
      <c r="E95" s="61">
        <f>E96*E97</f>
        <v>0.005</v>
      </c>
      <c r="F95" s="14" t="s">
        <v>137</v>
      </c>
      <c r="I95" t="s">
        <v>138</v>
      </c>
    </row>
    <row r="96" ht="15.75" customHeight="1" spans="1:10">
      <c r="B96" s="44" t="s">
        <v>139</v>
      </c>
      <c r="E96" s="16">
        <v>1</v>
      </c>
      <c r="I96" t="s">
        <v>140</v>
      </c>
    </row>
    <row r="97" ht="15.75" customHeight="1" spans="2:5">
      <c r="B97" s="44" t="s">
        <v>134</v>
      </c>
      <c r="D97" t="s">
        <v>12</v>
      </c>
      <c r="E97" s="16">
        <v>0.005</v>
      </c>
    </row>
    <row r="98" ht="15.75" customHeight="1" spans="2:5">
      <c r="B98" s="44"/>
    </row>
    <row r="99" ht="15.75" customHeight="1" spans="2:5">
      <c r="B99" s="44"/>
    </row>
    <row r="100" ht="15.75" customHeight="1" spans="2:5">
      <c r="B100" s="44"/>
    </row>
    <row r="101" ht="15.75" customHeight="1" spans="2:5">
      <c r="B101" s="44"/>
    </row>
    <row r="102" ht="15.75" customHeight="1" spans="2:5">
      <c r="B102" s="44"/>
    </row>
    <row r="103" ht="15.75" customHeight="1" spans="2:5">
      <c r="B103" s="44"/>
    </row>
    <row r="104" ht="15.75" customHeight="1" spans="2:5">
      <c r="B104" s="44"/>
    </row>
    <row r="105" ht="15.75" customHeight="1" spans="2:5">
      <c r="B105" s="44"/>
    </row>
    <row r="106" ht="15.75" customHeight="1" spans="2:5">
      <c r="B106" s="44"/>
    </row>
    <row r="107" ht="15.75" customHeight="1" spans="2:5">
      <c r="B107" s="44"/>
    </row>
    <row r="108" ht="15.75" customHeight="1" spans="2:5">
      <c r="B108" s="44"/>
    </row>
    <row r="109" ht="15.75" customHeight="1" spans="2:5">
      <c r="B109" s="44"/>
    </row>
    <row r="110" ht="15.75" customHeight="1" spans="2:5">
      <c r="B110" s="44"/>
    </row>
    <row r="111" ht="15.75" customHeight="1" spans="2:5">
      <c r="B111" s="44"/>
    </row>
    <row r="112" ht="15.75" customHeight="1" spans="2:5">
      <c r="B112" s="44"/>
    </row>
    <row r="113" ht="15.75" customHeight="1" spans="2:2">
      <c r="B113" s="44"/>
    </row>
    <row r="114" ht="15.75" customHeight="1" spans="2:2">
      <c r="B114" s="44"/>
    </row>
    <row r="115" ht="15.75" customHeight="1" spans="2:2">
      <c r="B115" s="44"/>
    </row>
    <row r="116" ht="15.75" customHeight="1" spans="2:2">
      <c r="B116" s="44"/>
    </row>
    <row r="117" ht="15.75" customHeight="1" spans="2:2">
      <c r="B117" s="44"/>
    </row>
    <row r="118" ht="15.75" customHeight="1" spans="2:2">
      <c r="B118" s="44"/>
    </row>
    <row r="119" ht="15.75" customHeight="1" spans="2:2">
      <c r="B119" s="44"/>
    </row>
    <row r="120" ht="15.75" customHeight="1" spans="2:2">
      <c r="B120" s="44"/>
    </row>
    <row r="121" ht="15.75" customHeight="1" spans="2:2">
      <c r="B121" s="44"/>
    </row>
    <row r="122" ht="15.75" customHeight="1" spans="2:2">
      <c r="B122" s="44"/>
    </row>
    <row r="123" ht="15.75" customHeight="1" spans="2:2">
      <c r="B123" s="44"/>
    </row>
    <row r="124" ht="15.75" customHeight="1" spans="2:2">
      <c r="B124" s="44"/>
    </row>
    <row r="125" ht="15.75" customHeight="1" spans="2:2">
      <c r="B125" s="44"/>
    </row>
    <row r="126" ht="15.75" customHeight="1" spans="2:2">
      <c r="B126" s="44"/>
    </row>
    <row r="127" ht="15.75" customHeight="1" spans="2:2">
      <c r="B127" s="44"/>
    </row>
    <row r="128" ht="15.75" customHeight="1" spans="2:2">
      <c r="B128" s="44"/>
    </row>
    <row r="129" ht="15.75" customHeight="1" spans="2:2">
      <c r="B129" s="44"/>
    </row>
    <row r="130" ht="15.75" customHeight="1" spans="2:2">
      <c r="B130" s="44"/>
    </row>
    <row r="131" ht="15.75" customHeight="1" spans="2:2">
      <c r="B131" s="44"/>
    </row>
    <row r="132" ht="15.75" customHeight="1" spans="2:2">
      <c r="B132" s="44"/>
    </row>
    <row r="133" ht="15.75" customHeight="1" spans="2:2">
      <c r="B133" s="44"/>
    </row>
    <row r="134" ht="15.75" customHeight="1" spans="2:2">
      <c r="B134" s="44"/>
    </row>
    <row r="135" ht="15.75" customHeight="1" spans="2:2">
      <c r="B135" s="44"/>
    </row>
    <row r="136" ht="15.75" customHeight="1" spans="2:2">
      <c r="B136" s="44"/>
    </row>
    <row r="137" ht="15.75" customHeight="1" spans="2:2">
      <c r="B137" s="44"/>
    </row>
    <row r="138" ht="15.75" customHeight="1" spans="2:2">
      <c r="B138" s="44"/>
    </row>
    <row r="139" ht="15.75" customHeight="1" spans="2:2">
      <c r="B139" s="44"/>
    </row>
    <row r="140" ht="15.75" customHeight="1" spans="2:2">
      <c r="B140" s="44"/>
    </row>
    <row r="141" ht="15.75" customHeight="1" spans="2:2">
      <c r="B141" s="44"/>
    </row>
    <row r="142" ht="15.75" customHeight="1" spans="2:2">
      <c r="B142" s="44"/>
    </row>
    <row r="143" ht="15.75" customHeight="1" spans="2:2">
      <c r="B143" s="44"/>
    </row>
    <row r="144" ht="15.75" customHeight="1" spans="2:2">
      <c r="B144" s="44"/>
    </row>
    <row r="145" ht="15.75" customHeight="1" spans="2:2">
      <c r="B145" s="44"/>
    </row>
    <row r="146" ht="15.75" customHeight="1" spans="2:2">
      <c r="B146" s="44"/>
    </row>
    <row r="147" ht="15.75" customHeight="1" spans="2:2">
      <c r="B147" s="44"/>
    </row>
    <row r="148" ht="15.75" customHeight="1" spans="2:2">
      <c r="B148" s="44"/>
    </row>
    <row r="149" ht="15.75" customHeight="1" spans="2:2">
      <c r="B149" s="44"/>
    </row>
    <row r="150" ht="15.75" customHeight="1" spans="2:2">
      <c r="B150" s="44"/>
    </row>
    <row r="151" ht="15.75" customHeight="1" spans="2:2">
      <c r="B151" s="44"/>
    </row>
    <row r="152" ht="15.75" customHeight="1" spans="2:2">
      <c r="B152" s="44"/>
    </row>
    <row r="153" ht="15.75" customHeight="1" spans="2:2">
      <c r="B153" s="44"/>
    </row>
    <row r="154" ht="15.75" customHeight="1" spans="2:2">
      <c r="B154" s="44"/>
    </row>
    <row r="155" ht="15.75" customHeight="1" spans="2:2">
      <c r="B155" s="44"/>
    </row>
    <row r="156" ht="15.75" customHeight="1" spans="2:2">
      <c r="B156" s="44"/>
    </row>
    <row r="157" ht="15.75" customHeight="1" spans="2:2">
      <c r="B157" s="44"/>
    </row>
    <row r="158" ht="15.75" customHeight="1" spans="2:2">
      <c r="B158" s="44"/>
    </row>
    <row r="159" ht="15.75" customHeight="1" spans="2:2">
      <c r="B159" s="44"/>
    </row>
    <row r="160" ht="15.75" customHeight="1" spans="2:2">
      <c r="B160" s="44"/>
    </row>
    <row r="161" ht="15.75" customHeight="1" spans="2:2">
      <c r="B161" s="44"/>
    </row>
    <row r="162" ht="15.75" customHeight="1" spans="2:2">
      <c r="B162" s="44"/>
    </row>
    <row r="163" ht="15.75" customHeight="1" spans="2:2">
      <c r="B163" s="44"/>
    </row>
    <row r="164" ht="15.75" customHeight="1" spans="2:2">
      <c r="B164" s="44"/>
    </row>
    <row r="165" ht="15.75" customHeight="1" spans="2:2">
      <c r="B165" s="44"/>
    </row>
    <row r="166" ht="15.75" customHeight="1" spans="2:2">
      <c r="B166" s="44"/>
    </row>
    <row r="167" ht="15.75" customHeight="1" spans="2:2">
      <c r="B167" s="44"/>
    </row>
    <row r="168" ht="15.75" customHeight="1" spans="2:2">
      <c r="B168" s="44"/>
    </row>
    <row r="169" ht="15.75" customHeight="1" spans="2:2">
      <c r="B169" s="44"/>
    </row>
    <row r="170" ht="15.75" customHeight="1" spans="2:2">
      <c r="B170" s="44"/>
    </row>
    <row r="171" ht="15.75" customHeight="1" spans="2:2">
      <c r="B171" s="44"/>
    </row>
    <row r="172" ht="15.75" customHeight="1" spans="2:2">
      <c r="B172" s="44"/>
    </row>
    <row r="173" ht="15.75" customHeight="1" spans="2:2">
      <c r="B173" s="44"/>
    </row>
    <row r="174" ht="15.75" customHeight="1" spans="2:2">
      <c r="B174" s="44"/>
    </row>
    <row r="175" ht="15.75" customHeight="1" spans="2:2">
      <c r="B175" s="44"/>
    </row>
    <row r="176" ht="15.75" customHeight="1" spans="2:2">
      <c r="B176" s="44"/>
    </row>
    <row r="177" ht="15.75" customHeight="1" spans="2:2">
      <c r="B177" s="44"/>
    </row>
    <row r="178" ht="15.75" customHeight="1" spans="2:2">
      <c r="B178" s="44"/>
    </row>
    <row r="179" ht="15.75" customHeight="1" spans="2:2">
      <c r="B179" s="44"/>
    </row>
    <row r="180" ht="15.75" customHeight="1" spans="2:2">
      <c r="B180" s="44"/>
    </row>
    <row r="181" ht="15.75" customHeight="1" spans="2:2">
      <c r="B181" s="44"/>
    </row>
    <row r="182" ht="15.75" customHeight="1" spans="2:2">
      <c r="B182" s="44"/>
    </row>
    <row r="183" ht="15.75" customHeight="1" spans="2:2">
      <c r="B183" s="44"/>
    </row>
    <row r="184" ht="15.75" customHeight="1" spans="2:2">
      <c r="B184" s="44"/>
    </row>
    <row r="185" ht="15.75" customHeight="1" spans="2:2">
      <c r="B185" s="44"/>
    </row>
    <row r="186" ht="15.75" customHeight="1" spans="2:2">
      <c r="B186" s="44"/>
    </row>
    <row r="187" ht="15.75" customHeight="1" spans="2:2">
      <c r="B187" s="44"/>
    </row>
    <row r="188" ht="15.75" customHeight="1" spans="2:2">
      <c r="B188" s="44"/>
    </row>
    <row r="189" ht="15.75" customHeight="1" spans="2:2">
      <c r="B189" s="44"/>
    </row>
    <row r="190" ht="15.75" customHeight="1" spans="2:2">
      <c r="B190" s="44"/>
    </row>
    <row r="191" ht="15.75" customHeight="1" spans="2:2">
      <c r="B191" s="44"/>
    </row>
    <row r="192" ht="15.75" customHeight="1" spans="2:2">
      <c r="B192" s="44"/>
    </row>
    <row r="193" ht="15.75" customHeight="1" spans="2:2">
      <c r="B193" s="44"/>
    </row>
    <row r="194" ht="15.75" customHeight="1" spans="2:2">
      <c r="B194" s="44"/>
    </row>
    <row r="195" ht="15.75" customHeight="1" spans="2:2">
      <c r="B195" s="44"/>
    </row>
    <row r="196" ht="15.75" customHeight="1" spans="2:2">
      <c r="B196" s="44"/>
    </row>
    <row r="197" ht="15.75" customHeight="1" spans="2:2">
      <c r="B197" s="44"/>
    </row>
    <row r="198" ht="15.75" customHeight="1" spans="2:2">
      <c r="B198" s="44"/>
    </row>
    <row r="199" ht="15.75" customHeight="1" spans="2:2">
      <c r="B199" s="44"/>
    </row>
    <row r="200" ht="15.75" customHeight="1" spans="2:2">
      <c r="B200" s="44"/>
    </row>
    <row r="201" ht="15.75" customHeight="1" spans="2:2">
      <c r="B201" s="44"/>
    </row>
    <row r="202" ht="15.75" customHeight="1" spans="2:2">
      <c r="B202" s="44"/>
    </row>
    <row r="203" ht="15.75" customHeight="1" spans="2:2">
      <c r="B203" s="44"/>
    </row>
    <row r="204" ht="15.75" customHeight="1" spans="2:2">
      <c r="B204" s="44"/>
    </row>
    <row r="205" ht="15.75" customHeight="1" spans="2:2">
      <c r="B205" s="44"/>
    </row>
    <row r="206" ht="15.75" customHeight="1" spans="2:2">
      <c r="B206" s="44"/>
    </row>
    <row r="207" ht="15.75" customHeight="1" spans="2:2">
      <c r="B207" s="44"/>
    </row>
    <row r="208" ht="15.75" customHeight="1" spans="2:2">
      <c r="B208" s="44"/>
    </row>
    <row r="209" ht="15.75" customHeight="1" spans="2:2">
      <c r="B209" s="44"/>
    </row>
    <row r="210" ht="15.75" customHeight="1" spans="2:2">
      <c r="B210" s="44"/>
    </row>
    <row r="211" ht="15.75" customHeight="1" spans="2:2">
      <c r="B211" s="44"/>
    </row>
    <row r="212" ht="15.75" customHeight="1" spans="2:2">
      <c r="B212" s="44"/>
    </row>
    <row r="213" ht="15.75" customHeight="1" spans="2:2">
      <c r="B213" s="44"/>
    </row>
    <row r="214" ht="15.75" customHeight="1" spans="2:2">
      <c r="B214" s="44"/>
    </row>
    <row r="215" ht="15.75" customHeight="1" spans="2:2">
      <c r="B215" s="44"/>
    </row>
    <row r="216" ht="15.75" customHeight="1" spans="2:2">
      <c r="B216" s="44"/>
    </row>
    <row r="217" ht="15.75" customHeight="1" spans="2:2">
      <c r="B217" s="44"/>
    </row>
    <row r="218" ht="15.75" customHeight="1" spans="2:2">
      <c r="B218" s="44"/>
    </row>
    <row r="219" ht="15.75" customHeight="1" spans="2:2">
      <c r="B219" s="44"/>
    </row>
    <row r="220" ht="15.75" customHeight="1" spans="2:2">
      <c r="B220" s="44"/>
    </row>
    <row r="221" ht="15.75" customHeight="1" spans="2:2">
      <c r="B221" s="44"/>
    </row>
    <row r="222" ht="15.75" customHeight="1" spans="2:2">
      <c r="B222" s="44"/>
    </row>
    <row r="223" ht="15.75" customHeight="1" spans="2:2">
      <c r="B223" s="44"/>
    </row>
    <row r="224" ht="15.75" customHeight="1" spans="2:2">
      <c r="B224" s="44"/>
    </row>
    <row r="225" ht="15.75" customHeight="1" spans="2:2">
      <c r="B225" s="44"/>
    </row>
    <row r="226" ht="15.75" customHeight="1" spans="2:2">
      <c r="B226" s="44"/>
    </row>
    <row r="227" ht="15.75" customHeight="1" spans="2:2">
      <c r="B227" s="44"/>
    </row>
    <row r="228" ht="15.75" customHeight="1" spans="2:2">
      <c r="B228" s="44"/>
    </row>
    <row r="229" ht="15.75" customHeight="1" spans="2:2">
      <c r="B229" s="44"/>
    </row>
    <row r="230" ht="15.75" customHeight="1" spans="2:2">
      <c r="B230" s="44"/>
    </row>
    <row r="231" ht="15.75" customHeight="1" spans="2:2">
      <c r="B231" s="44"/>
    </row>
    <row r="232" ht="15.75" customHeight="1" spans="2:2">
      <c r="B232" s="44"/>
    </row>
    <row r="233" ht="15.75" customHeight="1" spans="2:2">
      <c r="B233" s="44"/>
    </row>
    <row r="234" ht="15.75" customHeight="1" spans="2:2">
      <c r="B234" s="44"/>
    </row>
    <row r="235" ht="15.75" customHeight="1" spans="2:2">
      <c r="B235" s="44"/>
    </row>
    <row r="236" ht="15.75" customHeight="1" spans="2:2">
      <c r="B236" s="44"/>
    </row>
    <row r="237" ht="15.75" customHeight="1" spans="2:2">
      <c r="B237" s="44"/>
    </row>
    <row r="238" ht="15.75" customHeight="1" spans="2:2">
      <c r="B238" s="44"/>
    </row>
    <row r="239" ht="15.75" customHeight="1" spans="2:2">
      <c r="B239" s="44"/>
    </row>
    <row r="240" ht="15.75" customHeight="1" spans="2:2">
      <c r="B240" s="44"/>
    </row>
    <row r="241" ht="15.75" customHeight="1" spans="2:2">
      <c r="B241" s="44"/>
    </row>
    <row r="242" ht="15.75" customHeight="1" spans="2:2">
      <c r="B242" s="44"/>
    </row>
    <row r="243" ht="15.75" customHeight="1" spans="2:2">
      <c r="B243" s="44"/>
    </row>
    <row r="244" ht="15.75" customHeight="1" spans="2:2">
      <c r="B244" s="44"/>
    </row>
    <row r="245" ht="15.75" customHeight="1" spans="2:2">
      <c r="B245" s="44"/>
    </row>
    <row r="246" ht="15.75" customHeight="1" spans="2:2">
      <c r="B246" s="44"/>
    </row>
    <row r="247" ht="15.75" customHeight="1" spans="2:2">
      <c r="B247" s="44"/>
    </row>
    <row r="248" ht="15.75" customHeight="1" spans="2:2">
      <c r="B248" s="44"/>
    </row>
    <row r="249" ht="15.75" customHeight="1" spans="2:2">
      <c r="B249" s="44"/>
    </row>
    <row r="250" ht="15.75" customHeight="1" spans="2:2">
      <c r="B250" s="44"/>
    </row>
    <row r="251" ht="15.75" customHeight="1" spans="2:2">
      <c r="B251" s="44"/>
    </row>
    <row r="252" ht="15.75" customHeight="1" spans="2:2">
      <c r="B252" s="44"/>
    </row>
    <row r="253" ht="15.75" customHeight="1" spans="2:2">
      <c r="B253" s="44"/>
    </row>
    <row r="254" ht="15.75" customHeight="1" spans="2:2">
      <c r="B254" s="44"/>
    </row>
    <row r="255" ht="15.75" customHeight="1" spans="2:2">
      <c r="B255" s="44"/>
    </row>
    <row r="256" ht="15.75" customHeight="1" spans="2:2">
      <c r="B256" s="44"/>
    </row>
    <row r="257" ht="15.75" customHeight="1" spans="2:2">
      <c r="B257" s="44"/>
    </row>
    <row r="258" ht="15.75" customHeight="1" spans="2:2">
      <c r="B258" s="44"/>
    </row>
    <row r="259" ht="15.75" customHeight="1" spans="2:2">
      <c r="B259" s="44"/>
    </row>
    <row r="260" ht="15.75" customHeight="1" spans="2:2">
      <c r="B260" s="44"/>
    </row>
    <row r="261" ht="15.75" customHeight="1" spans="2:2">
      <c r="B261" s="44"/>
    </row>
    <row r="262" ht="15.75" customHeight="1" spans="2:2">
      <c r="B262" s="44"/>
    </row>
    <row r="263" ht="15.75" customHeight="1" spans="2:2">
      <c r="B263" s="44"/>
    </row>
    <row r="264" ht="15.75" customHeight="1" spans="2:2">
      <c r="B264" s="44"/>
    </row>
    <row r="265" ht="15.75" customHeight="1" spans="2:2">
      <c r="B265" s="44"/>
    </row>
    <row r="266" ht="15.75" customHeight="1" spans="2:2">
      <c r="B266" s="44"/>
    </row>
    <row r="267" ht="15.75" customHeight="1" spans="2:2">
      <c r="B267" s="44"/>
    </row>
    <row r="268" ht="15.75" customHeight="1" spans="2:2">
      <c r="B268" s="44"/>
    </row>
    <row r="269" ht="15.75" customHeight="1" spans="2:2">
      <c r="B269" s="44"/>
    </row>
    <row r="270" ht="15.75" customHeight="1" spans="2:2">
      <c r="B270" s="44"/>
    </row>
    <row r="271" ht="15.75" customHeight="1" spans="2:2">
      <c r="B271" s="44"/>
    </row>
    <row r="272" ht="15.75" customHeight="1" spans="2:2">
      <c r="B272" s="44"/>
    </row>
    <row r="273" ht="15.75" customHeight="1" spans="2:2">
      <c r="B273" s="44"/>
    </row>
    <row r="274" ht="15.75" customHeight="1" spans="2:2">
      <c r="B274" s="44"/>
    </row>
    <row r="275" ht="15.75" customHeight="1" spans="2:2">
      <c r="B275" s="44"/>
    </row>
    <row r="276" ht="15.75" customHeight="1" spans="2:2">
      <c r="B276" s="44"/>
    </row>
    <row r="277" ht="15.75" customHeight="1" spans="2:2">
      <c r="B277" s="44"/>
    </row>
    <row r="278" ht="15.75" customHeight="1" spans="2:2">
      <c r="B278" s="44"/>
    </row>
    <row r="279" ht="15.75" customHeight="1" spans="2:2">
      <c r="B279" s="44"/>
    </row>
    <row r="280" ht="15.75" customHeight="1" spans="2:2">
      <c r="B280" s="44"/>
    </row>
    <row r="281" ht="15.75" customHeight="1" spans="2:2">
      <c r="B281" s="44"/>
    </row>
    <row r="282" ht="15.75" customHeight="1" spans="2:2">
      <c r="B282" s="44"/>
    </row>
    <row r="283" ht="15.75" customHeight="1" spans="2:2">
      <c r="B283" s="44"/>
    </row>
    <row r="284" ht="15.75" customHeight="1" spans="2:2">
      <c r="B284" s="44"/>
    </row>
    <row r="285" ht="15.75" customHeight="1" spans="2:2">
      <c r="B285" s="44"/>
    </row>
    <row r="286" ht="15.75" customHeight="1" spans="2:2">
      <c r="B286" s="44"/>
    </row>
    <row r="287" ht="15.75" customHeight="1" spans="2:2">
      <c r="B287" s="44"/>
    </row>
    <row r="288" ht="15.75" customHeight="1" spans="2:2">
      <c r="B288" s="44"/>
    </row>
    <row r="289" ht="15.75" customHeight="1" spans="2:2">
      <c r="B289" s="44"/>
    </row>
    <row r="290" ht="15.75" customHeight="1" spans="2:2">
      <c r="B290" s="44"/>
    </row>
    <row r="291" ht="15.75" customHeight="1" spans="2:2">
      <c r="B291" s="44"/>
    </row>
    <row r="292" ht="15.75" customHeight="1" spans="2:2">
      <c r="B292" s="44"/>
    </row>
    <row r="293" ht="15.75" customHeight="1" spans="2:2">
      <c r="B293" s="44"/>
    </row>
    <row r="294" ht="15.75" customHeight="1" spans="2:2">
      <c r="B294" s="44"/>
    </row>
    <row r="295" ht="15.75" customHeight="1" spans="2:2">
      <c r="B295" s="44"/>
    </row>
    <row r="296" ht="15.75" customHeight="1" spans="2:2">
      <c r="B296" s="44"/>
    </row>
    <row r="297" ht="15.75" customHeight="1" spans="2:2">
      <c r="B297" s="44"/>
    </row>
    <row r="298" ht="15.75" customHeight="1" spans="2:2">
      <c r="B298" s="44"/>
    </row>
    <row r="299" ht="15.75" customHeight="1" spans="2:2">
      <c r="B299" s="44"/>
    </row>
    <row r="300" ht="15.75" customHeight="1" spans="2:2">
      <c r="B300" s="44"/>
    </row>
    <row r="301" ht="15.75" customHeight="1" spans="2:2">
      <c r="B301" s="44"/>
    </row>
    <row r="302" ht="15.75" customHeight="1" spans="2:2">
      <c r="B302" s="44"/>
    </row>
    <row r="303" ht="15.75" customHeight="1" spans="2:2">
      <c r="B303" s="44"/>
    </row>
    <row r="304" ht="15.75" customHeight="1" spans="2:2">
      <c r="B304" s="44"/>
    </row>
    <row r="305" ht="15.75" customHeight="1" spans="2:2">
      <c r="B305" s="44"/>
    </row>
    <row r="306" ht="15.75" customHeight="1" spans="2:2">
      <c r="B306" s="44"/>
    </row>
    <row r="307" ht="15.75" customHeight="1" spans="2:2">
      <c r="B307" s="44"/>
    </row>
    <row r="308" ht="15.75" customHeight="1" spans="2:2">
      <c r="B308" s="44"/>
    </row>
    <row r="309" ht="15.75" customHeight="1" spans="2:2">
      <c r="B309" s="44"/>
    </row>
    <row r="310" ht="15.75" customHeight="1" spans="2:2">
      <c r="B310" s="44"/>
    </row>
    <row r="311" ht="15.75" customHeight="1" spans="2:2">
      <c r="B311" s="44"/>
    </row>
    <row r="312" ht="15.75" customHeight="1" spans="2:2">
      <c r="B312" s="44"/>
    </row>
    <row r="313" ht="15.75" customHeight="1" spans="2:2">
      <c r="B313" s="44"/>
    </row>
    <row r="314" ht="15.75" customHeight="1" spans="2:2">
      <c r="B314" s="44"/>
    </row>
    <row r="315" ht="15.75" customHeight="1" spans="2:2">
      <c r="B315" s="44"/>
    </row>
    <row r="316" ht="15.75" customHeight="1" spans="2:2">
      <c r="B316" s="44"/>
    </row>
    <row r="317" ht="15.75" customHeight="1" spans="2:2">
      <c r="B317" s="44"/>
    </row>
    <row r="318" ht="15.75" customHeight="1" spans="2:2">
      <c r="B318" s="44"/>
    </row>
    <row r="319" ht="15.75" customHeight="1" spans="2:2">
      <c r="B319" s="44"/>
    </row>
    <row r="320" ht="15.75" customHeight="1" spans="2:2">
      <c r="B320" s="44"/>
    </row>
    <row r="321" ht="15.75" customHeight="1" spans="2:2">
      <c r="B321" s="44"/>
    </row>
    <row r="322" ht="15.75" customHeight="1" spans="2:2">
      <c r="B322" s="44"/>
    </row>
    <row r="323" ht="15.75" customHeight="1" spans="2:2">
      <c r="B323" s="44"/>
    </row>
    <row r="324" ht="15.75" customHeight="1" spans="2:2">
      <c r="B324" s="44"/>
    </row>
    <row r="325" ht="15.75" customHeight="1" spans="2:2">
      <c r="B325" s="44"/>
    </row>
    <row r="326" ht="15.75" customHeight="1" spans="2:2">
      <c r="B326" s="44"/>
    </row>
    <row r="327" ht="15.75" customHeight="1" spans="2:2">
      <c r="B327" s="44"/>
    </row>
    <row r="328" ht="15.75" customHeight="1" spans="2:2">
      <c r="B328" s="44"/>
    </row>
    <row r="329" ht="15.75" customHeight="1" spans="2:2">
      <c r="B329" s="44"/>
    </row>
    <row r="330" ht="15.75" customHeight="1" spans="2:2">
      <c r="B330" s="44"/>
    </row>
    <row r="331" ht="15.75" customHeight="1" spans="2:2">
      <c r="B331" s="44"/>
    </row>
    <row r="332" ht="15.75" customHeight="1" spans="2:2">
      <c r="B332" s="44"/>
    </row>
    <row r="333" ht="15.75" customHeight="1" spans="2:2">
      <c r="B333" s="44"/>
    </row>
    <row r="334" ht="15.75" customHeight="1" spans="2:2">
      <c r="B334" s="44"/>
    </row>
    <row r="335" ht="15.75" customHeight="1" spans="2:2">
      <c r="B335" s="44"/>
    </row>
    <row r="336" ht="15.75" customHeight="1" spans="2:2">
      <c r="B336" s="44"/>
    </row>
    <row r="337" ht="15.75" customHeight="1" spans="2:2">
      <c r="B337" s="44"/>
    </row>
    <row r="338" ht="15.75" customHeight="1" spans="2:2">
      <c r="B338" s="44"/>
    </row>
    <row r="339" ht="15.75" customHeight="1" spans="2:2">
      <c r="B339" s="44"/>
    </row>
    <row r="340" ht="15.75" customHeight="1" spans="2:2">
      <c r="B340" s="44"/>
    </row>
    <row r="341" ht="15.75" customHeight="1" spans="2:2">
      <c r="B341" s="44"/>
    </row>
    <row r="342" ht="15.75" customHeight="1" spans="2:2">
      <c r="B342" s="44"/>
    </row>
    <row r="343" ht="15.75" customHeight="1" spans="2:2">
      <c r="B343" s="44"/>
    </row>
    <row r="344" ht="15.75" customHeight="1" spans="2:2">
      <c r="B344" s="44"/>
    </row>
    <row r="345" ht="15.75" customHeight="1" spans="2:2">
      <c r="B345" s="44"/>
    </row>
    <row r="346" ht="15.75" customHeight="1" spans="2:2">
      <c r="B346" s="44"/>
    </row>
    <row r="347" ht="15.75" customHeight="1" spans="2:2">
      <c r="B347" s="44"/>
    </row>
    <row r="348" ht="15.75" customHeight="1" spans="2:2">
      <c r="B348" s="44"/>
    </row>
    <row r="349" ht="15.75" customHeight="1" spans="2:2">
      <c r="B349" s="44"/>
    </row>
    <row r="350" ht="15.75" customHeight="1" spans="2:2">
      <c r="B350" s="44"/>
    </row>
    <row r="351" ht="15.75" customHeight="1" spans="2:2">
      <c r="B351" s="44"/>
    </row>
    <row r="352" ht="15.75" customHeight="1" spans="2:2">
      <c r="B352" s="44"/>
    </row>
    <row r="353" ht="15.75" customHeight="1" spans="2:2">
      <c r="B353" s="44"/>
    </row>
    <row r="354" ht="15.75" customHeight="1" spans="2:2">
      <c r="B354" s="44"/>
    </row>
    <row r="355" ht="15.75" customHeight="1" spans="2:2">
      <c r="B355" s="44"/>
    </row>
    <row r="356" ht="15.75" customHeight="1" spans="2:2">
      <c r="B356" s="44"/>
    </row>
    <row r="357" ht="15.75" customHeight="1" spans="2:2">
      <c r="B357" s="44"/>
    </row>
    <row r="358" ht="15.75" customHeight="1" spans="2:2">
      <c r="B358" s="44"/>
    </row>
    <row r="359" ht="15.75" customHeight="1" spans="2:2">
      <c r="B359" s="44"/>
    </row>
    <row r="360" ht="15.75" customHeight="1" spans="2:2">
      <c r="B360" s="44"/>
    </row>
    <row r="361" ht="15.75" customHeight="1" spans="2:2">
      <c r="B361" s="44"/>
    </row>
    <row r="362" ht="15.75" customHeight="1" spans="2:2">
      <c r="B362" s="44"/>
    </row>
    <row r="363" ht="15.75" customHeight="1" spans="2:2">
      <c r="B363" s="44"/>
    </row>
    <row r="364" ht="15.75" customHeight="1" spans="2:2">
      <c r="B364" s="44"/>
    </row>
    <row r="365" ht="15.75" customHeight="1" spans="2:2">
      <c r="B365" s="44"/>
    </row>
    <row r="366" ht="15.75" customHeight="1" spans="2:2">
      <c r="B366" s="44"/>
    </row>
    <row r="367" ht="15.75" customHeight="1" spans="2:2">
      <c r="B367" s="44"/>
    </row>
    <row r="368" ht="15.75" customHeight="1" spans="2:2">
      <c r="B368" s="44"/>
    </row>
    <row r="369" ht="15.75" customHeight="1" spans="2:2">
      <c r="B369" s="44"/>
    </row>
    <row r="370" ht="15.75" customHeight="1" spans="2:2">
      <c r="B370" s="44"/>
    </row>
    <row r="371" ht="15.75" customHeight="1" spans="2:2">
      <c r="B371" s="44"/>
    </row>
    <row r="372" ht="15.75" customHeight="1" spans="2:2">
      <c r="B372" s="44"/>
    </row>
    <row r="373" ht="15.75" customHeight="1" spans="2:2">
      <c r="B373" s="44"/>
    </row>
    <row r="374" ht="15.75" customHeight="1" spans="2:2">
      <c r="B374" s="44"/>
    </row>
    <row r="375" ht="15.75" customHeight="1" spans="2:2">
      <c r="B375" s="44"/>
    </row>
    <row r="376" ht="15.75" customHeight="1" spans="2:2">
      <c r="B376" s="44"/>
    </row>
    <row r="377" ht="15.75" customHeight="1" spans="2:2">
      <c r="B377" s="44"/>
    </row>
    <row r="378" ht="15.75" customHeight="1" spans="2:2">
      <c r="B378" s="44"/>
    </row>
    <row r="379" ht="15.75" customHeight="1" spans="2:2">
      <c r="B379" s="44"/>
    </row>
    <row r="380" ht="15.75" customHeight="1" spans="2:2">
      <c r="B380" s="44"/>
    </row>
    <row r="381" ht="15.75" customHeight="1" spans="2:2">
      <c r="B381" s="44"/>
    </row>
    <row r="382" ht="15.75" customHeight="1" spans="2:2">
      <c r="B382" s="44"/>
    </row>
    <row r="383" ht="15.75" customHeight="1" spans="2:2">
      <c r="B383" s="44"/>
    </row>
    <row r="384" ht="15.75" customHeight="1" spans="2:2">
      <c r="B384" s="44"/>
    </row>
    <row r="385" ht="15.75" customHeight="1" spans="2:2">
      <c r="B385" s="44"/>
    </row>
    <row r="386" ht="15.75" customHeight="1" spans="2:2">
      <c r="B386" s="44"/>
    </row>
    <row r="387" ht="15.75" customHeight="1" spans="2:2">
      <c r="B387" s="44"/>
    </row>
    <row r="388" ht="15.75" customHeight="1" spans="2:2">
      <c r="B388" s="44"/>
    </row>
    <row r="389" ht="15.75" customHeight="1" spans="2:2">
      <c r="B389" s="44"/>
    </row>
    <row r="390" ht="15.75" customHeight="1" spans="2:2">
      <c r="B390" s="44"/>
    </row>
    <row r="391" ht="15.75" customHeight="1" spans="2:2">
      <c r="B391" s="44"/>
    </row>
    <row r="392" ht="15.75" customHeight="1" spans="2:2">
      <c r="B392" s="44"/>
    </row>
    <row r="393" ht="15.75" customHeight="1" spans="2:2">
      <c r="B393" s="44"/>
    </row>
    <row r="394" ht="15.75" customHeight="1" spans="2:2">
      <c r="B394" s="44"/>
    </row>
    <row r="395" ht="15.75" customHeight="1" spans="2:2">
      <c r="B395" s="44"/>
    </row>
    <row r="396" ht="15.75" customHeight="1" spans="2:2">
      <c r="B396" s="44"/>
    </row>
    <row r="397" ht="15.75" customHeight="1" spans="2:2">
      <c r="B397" s="44"/>
    </row>
    <row r="398" ht="15.75" customHeight="1" spans="2:2">
      <c r="B398" s="44"/>
    </row>
    <row r="399" ht="15.75" customHeight="1" spans="2:2">
      <c r="B399" s="44"/>
    </row>
    <row r="400" ht="15.75" customHeight="1" spans="2:2">
      <c r="B400" s="44"/>
    </row>
    <row r="401" ht="15.75" customHeight="1" spans="2:2">
      <c r="B401" s="44"/>
    </row>
    <row r="402" ht="15.75" customHeight="1" spans="2:2">
      <c r="B402" s="44"/>
    </row>
    <row r="403" ht="15.75" customHeight="1" spans="2:2">
      <c r="B403" s="44"/>
    </row>
    <row r="404" ht="15.75" customHeight="1" spans="2:2">
      <c r="B404" s="44"/>
    </row>
    <row r="405" ht="15.75" customHeight="1" spans="2:2">
      <c r="B405" s="44"/>
    </row>
    <row r="406" ht="15.75" customHeight="1" spans="2:2">
      <c r="B406" s="44"/>
    </row>
    <row r="407" ht="15.75" customHeight="1" spans="2:2">
      <c r="B407" s="44"/>
    </row>
    <row r="408" ht="15.75" customHeight="1" spans="2:2">
      <c r="B408" s="44"/>
    </row>
    <row r="409" ht="15.75" customHeight="1" spans="2:2">
      <c r="B409" s="44"/>
    </row>
    <row r="410" ht="15.75" customHeight="1" spans="2:2">
      <c r="B410" s="44"/>
    </row>
    <row r="411" ht="15.75" customHeight="1" spans="2:2">
      <c r="B411" s="44"/>
    </row>
    <row r="412" ht="15.75" customHeight="1" spans="2:2">
      <c r="B412" s="44"/>
    </row>
    <row r="413" ht="15.75" customHeight="1" spans="2:2">
      <c r="B413" s="44"/>
    </row>
    <row r="414" ht="15.75" customHeight="1" spans="2:2">
      <c r="B414" s="44"/>
    </row>
    <row r="415" ht="15.75" customHeight="1" spans="2:2">
      <c r="B415" s="44"/>
    </row>
    <row r="416" ht="15.75" customHeight="1" spans="2:2">
      <c r="B416" s="44"/>
    </row>
    <row r="417" ht="15.75" customHeight="1" spans="2:2">
      <c r="B417" s="44"/>
    </row>
    <row r="418" ht="15.75" customHeight="1" spans="2:2">
      <c r="B418" s="44"/>
    </row>
    <row r="419" ht="15.75" customHeight="1" spans="2:2">
      <c r="B419" s="44"/>
    </row>
    <row r="420" ht="15.75" customHeight="1" spans="2:2">
      <c r="B420" s="44"/>
    </row>
    <row r="421" ht="15.75" customHeight="1" spans="2:2">
      <c r="B421" s="44"/>
    </row>
    <row r="422" ht="15.75" customHeight="1" spans="2:2">
      <c r="B422" s="44"/>
    </row>
    <row r="423" ht="15.75" customHeight="1" spans="2:2">
      <c r="B423" s="44"/>
    </row>
    <row r="424" ht="15.75" customHeight="1" spans="2:2">
      <c r="B424" s="44"/>
    </row>
    <row r="425" ht="15.75" customHeight="1" spans="2:2">
      <c r="B425" s="44"/>
    </row>
    <row r="426" ht="15.75" customHeight="1" spans="2:2">
      <c r="B426" s="44"/>
    </row>
    <row r="427" ht="15.75" customHeight="1" spans="2:2">
      <c r="B427" s="44"/>
    </row>
    <row r="428" ht="15.75" customHeight="1" spans="2:2">
      <c r="B428" s="44"/>
    </row>
    <row r="429" ht="15.75" customHeight="1" spans="2:2">
      <c r="B429" s="44"/>
    </row>
    <row r="430" ht="15.75" customHeight="1" spans="2:2">
      <c r="B430" s="44"/>
    </row>
    <row r="431" ht="15.75" customHeight="1" spans="2:2">
      <c r="B431" s="44"/>
    </row>
    <row r="432" ht="15.75" customHeight="1" spans="2:2">
      <c r="B432" s="44"/>
    </row>
    <row r="433" ht="15.75" customHeight="1" spans="2:2">
      <c r="B433" s="44"/>
    </row>
    <row r="434" ht="15.75" customHeight="1" spans="2:2">
      <c r="B434" s="44"/>
    </row>
    <row r="435" ht="15.75" customHeight="1" spans="2:2">
      <c r="B435" s="44"/>
    </row>
    <row r="436" ht="15.75" customHeight="1" spans="2:2">
      <c r="B436" s="44"/>
    </row>
    <row r="437" ht="15.75" customHeight="1" spans="2:2">
      <c r="B437" s="44"/>
    </row>
    <row r="438" ht="15.75" customHeight="1" spans="2:2">
      <c r="B438" s="44"/>
    </row>
    <row r="439" ht="15.75" customHeight="1" spans="2:2">
      <c r="B439" s="44"/>
    </row>
    <row r="440" ht="15.75" customHeight="1" spans="2:2">
      <c r="B440" s="44"/>
    </row>
    <row r="441" ht="15.75" customHeight="1" spans="2:2">
      <c r="B441" s="44"/>
    </row>
    <row r="442" ht="15.75" customHeight="1" spans="2:2">
      <c r="B442" s="44"/>
    </row>
    <row r="443" ht="15.75" customHeight="1" spans="2:2">
      <c r="B443" s="44"/>
    </row>
    <row r="444" ht="15.75" customHeight="1" spans="2:2">
      <c r="B444" s="44"/>
    </row>
    <row r="445" ht="15.75" customHeight="1" spans="2:2">
      <c r="B445" s="44"/>
    </row>
    <row r="446" ht="15.75" customHeight="1" spans="2:2">
      <c r="B446" s="44"/>
    </row>
    <row r="447" ht="15.75" customHeight="1" spans="2:2">
      <c r="B447" s="44"/>
    </row>
    <row r="448" ht="15.75" customHeight="1" spans="2:2">
      <c r="B448" s="44"/>
    </row>
    <row r="449" ht="15.75" customHeight="1" spans="2:2">
      <c r="B449" s="44"/>
    </row>
    <row r="450" ht="15.75" customHeight="1" spans="2:2">
      <c r="B450" s="44"/>
    </row>
    <row r="451" ht="15.75" customHeight="1" spans="2:2">
      <c r="B451" s="44"/>
    </row>
    <row r="452" ht="15.75" customHeight="1" spans="2:2">
      <c r="B452" s="44"/>
    </row>
    <row r="453" ht="15.75" customHeight="1" spans="2:2">
      <c r="B453" s="44"/>
    </row>
    <row r="454" ht="15.75" customHeight="1" spans="2:2">
      <c r="B454" s="44"/>
    </row>
    <row r="455" ht="15.75" customHeight="1" spans="2:2">
      <c r="B455" s="44"/>
    </row>
    <row r="456" ht="15.75" customHeight="1" spans="2:2">
      <c r="B456" s="44"/>
    </row>
    <row r="457" ht="15.75" customHeight="1" spans="2:2">
      <c r="B457" s="44"/>
    </row>
    <row r="458" ht="15.75" customHeight="1" spans="2:2">
      <c r="B458" s="44"/>
    </row>
    <row r="459" ht="15.75" customHeight="1" spans="2:2">
      <c r="B459" s="44"/>
    </row>
    <row r="460" ht="15.75" customHeight="1" spans="2:2">
      <c r="B460" s="44"/>
    </row>
    <row r="461" ht="15.75" customHeight="1" spans="2:2">
      <c r="B461" s="44"/>
    </row>
    <row r="462" ht="15.75" customHeight="1" spans="2:2">
      <c r="B462" s="44"/>
    </row>
    <row r="463" ht="15.75" customHeight="1" spans="2:2">
      <c r="B463" s="44"/>
    </row>
    <row r="464" ht="15.75" customHeight="1" spans="2:2">
      <c r="B464" s="44"/>
    </row>
    <row r="465" ht="15.75" customHeight="1" spans="2:2">
      <c r="B465" s="44"/>
    </row>
    <row r="466" ht="15.75" customHeight="1" spans="2:2">
      <c r="B466" s="44"/>
    </row>
    <row r="467" ht="15.75" customHeight="1" spans="2:2">
      <c r="B467" s="44"/>
    </row>
    <row r="468" ht="15.75" customHeight="1" spans="2:2">
      <c r="B468" s="44"/>
    </row>
    <row r="469" ht="15.75" customHeight="1" spans="2:2">
      <c r="B469" s="44"/>
    </row>
    <row r="470" ht="15.75" customHeight="1" spans="2:2">
      <c r="B470" s="44"/>
    </row>
    <row r="471" ht="15.75" customHeight="1" spans="2:2">
      <c r="B471" s="44"/>
    </row>
    <row r="472" ht="15.75" customHeight="1" spans="2:2">
      <c r="B472" s="44"/>
    </row>
    <row r="473" ht="15.75" customHeight="1" spans="2:2">
      <c r="B473" s="44"/>
    </row>
    <row r="474" ht="15.75" customHeight="1" spans="2:2">
      <c r="B474" s="44"/>
    </row>
    <row r="475" ht="15.75" customHeight="1" spans="2:2">
      <c r="B475" s="44"/>
    </row>
    <row r="476" ht="15.75" customHeight="1" spans="2:2">
      <c r="B476" s="44"/>
    </row>
    <row r="477" ht="15.75" customHeight="1" spans="2:2">
      <c r="B477" s="44"/>
    </row>
    <row r="478" ht="15.75" customHeight="1" spans="2:2">
      <c r="B478" s="44"/>
    </row>
    <row r="479" ht="15.75" customHeight="1" spans="2:2">
      <c r="B479" s="44"/>
    </row>
    <row r="480" ht="15.75" customHeight="1" spans="2:2">
      <c r="B480" s="44"/>
    </row>
    <row r="481" ht="15.75" customHeight="1" spans="2:2">
      <c r="B481" s="44"/>
    </row>
    <row r="482" ht="15.75" customHeight="1" spans="2:2">
      <c r="B482" s="44"/>
    </row>
    <row r="483" ht="15.75" customHeight="1" spans="2:2">
      <c r="B483" s="44"/>
    </row>
    <row r="484" ht="15.75" customHeight="1" spans="2:2">
      <c r="B484" s="44"/>
    </row>
    <row r="485" ht="15.75" customHeight="1" spans="2:2">
      <c r="B485" s="44"/>
    </row>
    <row r="486" ht="15.75" customHeight="1" spans="2:2">
      <c r="B486" s="44"/>
    </row>
    <row r="487" ht="15.75" customHeight="1" spans="2:2">
      <c r="B487" s="44"/>
    </row>
    <row r="488" ht="15.75" customHeight="1" spans="2:2">
      <c r="B488" s="44"/>
    </row>
    <row r="489" ht="15.75" customHeight="1" spans="2:2">
      <c r="B489" s="44"/>
    </row>
    <row r="490" ht="15.75" customHeight="1" spans="2:2">
      <c r="B490" s="44"/>
    </row>
    <row r="491" ht="15.75" customHeight="1" spans="2:2">
      <c r="B491" s="44"/>
    </row>
    <row r="492" ht="15.75" customHeight="1" spans="2:2">
      <c r="B492" s="44"/>
    </row>
    <row r="493" ht="15.75" customHeight="1" spans="2:2">
      <c r="B493" s="44"/>
    </row>
    <row r="494" ht="15.75" customHeight="1" spans="2:2">
      <c r="B494" s="44"/>
    </row>
    <row r="495" ht="15.75" customHeight="1" spans="2:2">
      <c r="B495" s="44"/>
    </row>
    <row r="496" ht="15.75" customHeight="1" spans="2:2">
      <c r="B496" s="44"/>
    </row>
    <row r="497" ht="15.75" customHeight="1" spans="2:2">
      <c r="B497" s="44"/>
    </row>
    <row r="498" ht="15.75" customHeight="1" spans="2:2">
      <c r="B498" s="44"/>
    </row>
    <row r="499" ht="15.75" customHeight="1" spans="2:2">
      <c r="B499" s="44"/>
    </row>
    <row r="500" ht="15.75" customHeight="1" spans="2:2">
      <c r="B500" s="44"/>
    </row>
    <row r="501" ht="15.75" customHeight="1" spans="2:2">
      <c r="B501" s="44"/>
    </row>
    <row r="502" ht="15.75" customHeight="1" spans="2:2">
      <c r="B502" s="44"/>
    </row>
    <row r="503" ht="15.75" customHeight="1" spans="2:2">
      <c r="B503" s="44"/>
    </row>
    <row r="504" ht="15.75" customHeight="1" spans="2:2">
      <c r="B504" s="44"/>
    </row>
    <row r="505" ht="15.75" customHeight="1" spans="2:2">
      <c r="B505" s="44"/>
    </row>
    <row r="506" ht="15.75" customHeight="1" spans="2:2">
      <c r="B506" s="44"/>
    </row>
    <row r="507" ht="15.75" customHeight="1" spans="2:2">
      <c r="B507" s="44"/>
    </row>
    <row r="508" ht="15.75" customHeight="1" spans="2:2">
      <c r="B508" s="44"/>
    </row>
    <row r="509" ht="15.75" customHeight="1" spans="2:2">
      <c r="B509" s="44"/>
    </row>
    <row r="510" ht="15.75" customHeight="1" spans="2:2">
      <c r="B510" s="44"/>
    </row>
    <row r="511" ht="15.75" customHeight="1" spans="2:2">
      <c r="B511" s="44"/>
    </row>
    <row r="512" ht="15.75" customHeight="1" spans="2:2">
      <c r="B512" s="44"/>
    </row>
    <row r="513" ht="15.75" customHeight="1" spans="2:2">
      <c r="B513" s="44"/>
    </row>
    <row r="514" ht="15.75" customHeight="1" spans="2:2">
      <c r="B514" s="44"/>
    </row>
    <row r="515" ht="15.75" customHeight="1" spans="2:2">
      <c r="B515" s="44"/>
    </row>
    <row r="516" ht="15.75" customHeight="1" spans="2:2">
      <c r="B516" s="44"/>
    </row>
    <row r="517" ht="15.75" customHeight="1" spans="2:2">
      <c r="B517" s="44"/>
    </row>
    <row r="518" ht="15.75" customHeight="1" spans="2:2">
      <c r="B518" s="44"/>
    </row>
    <row r="519" ht="15.75" customHeight="1" spans="2:2">
      <c r="B519" s="44"/>
    </row>
    <row r="520" ht="15.75" customHeight="1" spans="2:2">
      <c r="B520" s="44"/>
    </row>
    <row r="521" ht="15.75" customHeight="1" spans="2:2">
      <c r="B521" s="44"/>
    </row>
    <row r="522" ht="15.75" customHeight="1" spans="2:2">
      <c r="B522" s="44"/>
    </row>
    <row r="523" ht="15.75" customHeight="1" spans="2:2">
      <c r="B523" s="44"/>
    </row>
    <row r="524" ht="15.75" customHeight="1" spans="2:2">
      <c r="B524" s="44"/>
    </row>
    <row r="525" ht="15.75" customHeight="1" spans="2:2">
      <c r="B525" s="44"/>
    </row>
    <row r="526" ht="15.75" customHeight="1" spans="2:2">
      <c r="B526" s="44"/>
    </row>
    <row r="527" ht="15.75" customHeight="1" spans="2:2">
      <c r="B527" s="44"/>
    </row>
    <row r="528" ht="15.75" customHeight="1" spans="2:2">
      <c r="B528" s="44"/>
    </row>
    <row r="529" ht="15.75" customHeight="1" spans="2:2">
      <c r="B529" s="44"/>
    </row>
    <row r="530" ht="15.75" customHeight="1" spans="2:2">
      <c r="B530" s="44"/>
    </row>
    <row r="531" ht="15.75" customHeight="1" spans="2:2">
      <c r="B531" s="44"/>
    </row>
    <row r="532" ht="15.75" customHeight="1" spans="2:2">
      <c r="B532" s="44"/>
    </row>
    <row r="533" ht="15.75" customHeight="1" spans="2:2">
      <c r="B533" s="44"/>
    </row>
    <row r="534" ht="15.75" customHeight="1" spans="2:2">
      <c r="B534" s="44"/>
    </row>
    <row r="535" ht="15.75" customHeight="1" spans="2:2">
      <c r="B535" s="44"/>
    </row>
    <row r="536" ht="15.75" customHeight="1" spans="2:2">
      <c r="B536" s="44"/>
    </row>
    <row r="537" ht="15.75" customHeight="1" spans="2:2">
      <c r="B537" s="44"/>
    </row>
    <row r="538" ht="15.75" customHeight="1" spans="2:2">
      <c r="B538" s="44"/>
    </row>
    <row r="539" ht="15.75" customHeight="1" spans="2:2">
      <c r="B539" s="44"/>
    </row>
    <row r="540" ht="15.75" customHeight="1" spans="2:2">
      <c r="B540" s="44"/>
    </row>
    <row r="541" ht="15.75" customHeight="1" spans="2:2">
      <c r="B541" s="44"/>
    </row>
    <row r="542" ht="15.75" customHeight="1" spans="2:2">
      <c r="B542" s="44"/>
    </row>
    <row r="543" ht="15.75" customHeight="1" spans="2:2">
      <c r="B543" s="44"/>
    </row>
    <row r="544" ht="15.75" customHeight="1" spans="2:2">
      <c r="B544" s="44"/>
    </row>
    <row r="545" ht="15.75" customHeight="1" spans="2:2">
      <c r="B545" s="44"/>
    </row>
    <row r="546" ht="15.75" customHeight="1" spans="2:2">
      <c r="B546" s="44"/>
    </row>
    <row r="547" ht="15.75" customHeight="1" spans="2:2">
      <c r="B547" s="44"/>
    </row>
    <row r="548" ht="15.75" customHeight="1" spans="2:2">
      <c r="B548" s="44"/>
    </row>
    <row r="549" ht="15.75" customHeight="1" spans="2:2">
      <c r="B549" s="44"/>
    </row>
    <row r="550" ht="15.75" customHeight="1" spans="2:2">
      <c r="B550" s="44"/>
    </row>
    <row r="551" ht="15.75" customHeight="1" spans="2:2">
      <c r="B551" s="44"/>
    </row>
    <row r="552" ht="15.75" customHeight="1" spans="2:2">
      <c r="B552" s="44"/>
    </row>
    <row r="553" ht="15.75" customHeight="1" spans="2:2">
      <c r="B553" s="44"/>
    </row>
    <row r="554" ht="15.75" customHeight="1" spans="2:2">
      <c r="B554" s="44"/>
    </row>
    <row r="555" ht="15.75" customHeight="1" spans="2:2">
      <c r="B555" s="44"/>
    </row>
    <row r="556" ht="15.75" customHeight="1" spans="2:2">
      <c r="B556" s="44"/>
    </row>
    <row r="557" ht="15.75" customHeight="1" spans="2:2">
      <c r="B557" s="44"/>
    </row>
    <row r="558" ht="15.75" customHeight="1" spans="2:2">
      <c r="B558" s="44"/>
    </row>
    <row r="559" ht="15.75" customHeight="1" spans="2:2">
      <c r="B559" s="44"/>
    </row>
    <row r="560" ht="15.75" customHeight="1" spans="2:2">
      <c r="B560" s="44"/>
    </row>
    <row r="561" ht="15.75" customHeight="1" spans="2:2">
      <c r="B561" s="44"/>
    </row>
    <row r="562" ht="15.75" customHeight="1" spans="2:2">
      <c r="B562" s="44"/>
    </row>
    <row r="563" ht="15.75" customHeight="1" spans="2:2">
      <c r="B563" s="44"/>
    </row>
    <row r="564" ht="15.75" customHeight="1" spans="2:2">
      <c r="B564" s="44"/>
    </row>
    <row r="565" ht="15.75" customHeight="1" spans="2:2">
      <c r="B565" s="44"/>
    </row>
    <row r="566" ht="15.75" customHeight="1" spans="2:2">
      <c r="B566" s="44"/>
    </row>
    <row r="567" ht="15.75" customHeight="1" spans="2:2">
      <c r="B567" s="44"/>
    </row>
    <row r="568" ht="15.75" customHeight="1" spans="2:2">
      <c r="B568" s="44"/>
    </row>
    <row r="569" ht="15.75" customHeight="1" spans="2:2">
      <c r="B569" s="44"/>
    </row>
    <row r="570" ht="15.75" customHeight="1" spans="2:2">
      <c r="B570" s="44"/>
    </row>
    <row r="571" ht="15.75" customHeight="1" spans="2:2">
      <c r="B571" s="44"/>
    </row>
    <row r="572" ht="15.75" customHeight="1" spans="2:2">
      <c r="B572" s="44"/>
    </row>
    <row r="573" ht="15.75" customHeight="1" spans="2:2">
      <c r="B573" s="44"/>
    </row>
    <row r="574" ht="15.75" customHeight="1" spans="2:2">
      <c r="B574" s="44"/>
    </row>
    <row r="575" ht="15.75" customHeight="1" spans="2:2">
      <c r="B575" s="44"/>
    </row>
    <row r="576" ht="15.75" customHeight="1" spans="2:2">
      <c r="B576" s="44"/>
    </row>
    <row r="577" ht="15.75" customHeight="1" spans="2:2">
      <c r="B577" s="44"/>
    </row>
    <row r="578" ht="15.75" customHeight="1" spans="2:2">
      <c r="B578" s="44"/>
    </row>
    <row r="579" ht="15.75" customHeight="1" spans="2:2">
      <c r="B579" s="44"/>
    </row>
    <row r="580" ht="15.75" customHeight="1" spans="2:2">
      <c r="B580" s="44"/>
    </row>
    <row r="581" ht="15.75" customHeight="1" spans="2:2">
      <c r="B581" s="44"/>
    </row>
    <row r="582" ht="15.75" customHeight="1" spans="2:2">
      <c r="B582" s="44"/>
    </row>
    <row r="583" ht="15.75" customHeight="1" spans="2:2">
      <c r="B583" s="44"/>
    </row>
    <row r="584" ht="15.75" customHeight="1" spans="2:2">
      <c r="B584" s="44"/>
    </row>
    <row r="585" ht="15.75" customHeight="1" spans="2:2">
      <c r="B585" s="44"/>
    </row>
    <row r="586" ht="15.75" customHeight="1" spans="2:2">
      <c r="B586" s="44"/>
    </row>
    <row r="587" ht="15.75" customHeight="1" spans="2:2">
      <c r="B587" s="44"/>
    </row>
    <row r="588" ht="15.75" customHeight="1" spans="2:2">
      <c r="B588" s="44"/>
    </row>
    <row r="589" ht="15.75" customHeight="1" spans="2:2">
      <c r="B589" s="44"/>
    </row>
    <row r="590" ht="15.75" customHeight="1" spans="2:2">
      <c r="B590" s="44"/>
    </row>
    <row r="591" ht="15.75" customHeight="1" spans="2:2">
      <c r="B591" s="44"/>
    </row>
    <row r="592" ht="15.75" customHeight="1" spans="2:2">
      <c r="B592" s="44"/>
    </row>
    <row r="593" ht="15.75" customHeight="1" spans="2:2">
      <c r="B593" s="44"/>
    </row>
    <row r="594" ht="15.75" customHeight="1" spans="2:2">
      <c r="B594" s="44"/>
    </row>
    <row r="595" ht="15.75" customHeight="1" spans="2:2">
      <c r="B595" s="44"/>
    </row>
    <row r="596" ht="15.75" customHeight="1" spans="2:2">
      <c r="B596" s="44"/>
    </row>
    <row r="597" ht="15.75" customHeight="1" spans="2:2">
      <c r="B597" s="44"/>
    </row>
    <row r="598" ht="15.75" customHeight="1" spans="2:2">
      <c r="B598" s="44"/>
    </row>
    <row r="599" ht="15.75" customHeight="1" spans="2:2">
      <c r="B599" s="44"/>
    </row>
    <row r="600" ht="15.75" customHeight="1" spans="2:2">
      <c r="B600" s="44"/>
    </row>
    <row r="601" ht="15.75" customHeight="1" spans="2:2">
      <c r="B601" s="44"/>
    </row>
    <row r="602" ht="15.75" customHeight="1" spans="2:2">
      <c r="B602" s="44"/>
    </row>
    <row r="603" ht="15.75" customHeight="1" spans="2:2">
      <c r="B603" s="44"/>
    </row>
    <row r="604" ht="15.75" customHeight="1" spans="2:2">
      <c r="B604" s="44"/>
    </row>
    <row r="605" ht="15.75" customHeight="1" spans="2:2">
      <c r="B605" s="44"/>
    </row>
    <row r="606" ht="15.75" customHeight="1" spans="2:2">
      <c r="B606" s="44"/>
    </row>
    <row r="607" ht="15.75" customHeight="1" spans="2:2">
      <c r="B607" s="44"/>
    </row>
    <row r="608" ht="15.75" customHeight="1" spans="2:2">
      <c r="B608" s="44"/>
    </row>
    <row r="609" ht="15.75" customHeight="1" spans="2:2">
      <c r="B609" s="44"/>
    </row>
    <row r="610" ht="15.75" customHeight="1" spans="2:2">
      <c r="B610" s="44"/>
    </row>
    <row r="611" ht="15.75" customHeight="1" spans="2:2">
      <c r="B611" s="44"/>
    </row>
    <row r="612" ht="15.75" customHeight="1" spans="2:2">
      <c r="B612" s="44"/>
    </row>
    <row r="613" ht="15.75" customHeight="1" spans="2:2">
      <c r="B613" s="44"/>
    </row>
    <row r="614" ht="15.75" customHeight="1" spans="2:2">
      <c r="B614" s="44"/>
    </row>
    <row r="615" ht="15.75" customHeight="1" spans="2:2">
      <c r="B615" s="44"/>
    </row>
    <row r="616" ht="15.75" customHeight="1" spans="2:2">
      <c r="B616" s="44"/>
    </row>
    <row r="617" ht="15.75" customHeight="1" spans="2:2">
      <c r="B617" s="44"/>
    </row>
    <row r="618" ht="15.75" customHeight="1" spans="2:2">
      <c r="B618" s="44"/>
    </row>
    <row r="619" ht="15.75" customHeight="1" spans="2:2">
      <c r="B619" s="44"/>
    </row>
    <row r="620" ht="15.75" customHeight="1" spans="2:2">
      <c r="B620" s="44"/>
    </row>
    <row r="621" ht="15.75" customHeight="1" spans="2:2">
      <c r="B621" s="44"/>
    </row>
    <row r="622" ht="15.75" customHeight="1" spans="2:2">
      <c r="B622" s="44"/>
    </row>
    <row r="623" ht="15.75" customHeight="1" spans="2:2">
      <c r="B623" s="44"/>
    </row>
    <row r="624" ht="15.75" customHeight="1" spans="2:2">
      <c r="B624" s="44"/>
    </row>
    <row r="625" ht="15.75" customHeight="1" spans="2:2">
      <c r="B625" s="44"/>
    </row>
    <row r="626" ht="15.75" customHeight="1" spans="2:2">
      <c r="B626" s="44"/>
    </row>
    <row r="627" ht="15.75" customHeight="1" spans="2:2">
      <c r="B627" s="44"/>
    </row>
    <row r="628" ht="15.75" customHeight="1" spans="2:2">
      <c r="B628" s="44"/>
    </row>
    <row r="629" ht="15.75" customHeight="1" spans="2:2">
      <c r="B629" s="44"/>
    </row>
    <row r="630" ht="15.75" customHeight="1" spans="2:2">
      <c r="B630" s="44"/>
    </row>
    <row r="631" ht="15.75" customHeight="1" spans="2:2">
      <c r="B631" s="44"/>
    </row>
    <row r="632" ht="15.75" customHeight="1" spans="2:2">
      <c r="B632" s="44"/>
    </row>
    <row r="633" ht="15.75" customHeight="1" spans="2:2">
      <c r="B633" s="44"/>
    </row>
    <row r="634" ht="15.75" customHeight="1" spans="2:2">
      <c r="B634" s="44"/>
    </row>
    <row r="635" ht="15.75" customHeight="1" spans="2:2">
      <c r="B635" s="44"/>
    </row>
    <row r="636" ht="15.75" customHeight="1" spans="2:2">
      <c r="B636" s="44"/>
    </row>
    <row r="637" ht="15.75" customHeight="1" spans="2:2">
      <c r="B637" s="44"/>
    </row>
    <row r="638" ht="15.75" customHeight="1" spans="2:2">
      <c r="B638" s="44"/>
    </row>
    <row r="639" ht="15.75" customHeight="1" spans="2:2">
      <c r="B639" s="44"/>
    </row>
    <row r="640" ht="15.75" customHeight="1" spans="2:2">
      <c r="B640" s="44"/>
    </row>
    <row r="641" ht="15.75" customHeight="1" spans="2:2">
      <c r="B641" s="44"/>
    </row>
    <row r="642" ht="15.75" customHeight="1" spans="2:2">
      <c r="B642" s="44"/>
    </row>
    <row r="643" ht="15.75" customHeight="1" spans="2:2">
      <c r="B643" s="44"/>
    </row>
    <row r="644" ht="15.75" customHeight="1" spans="2:2">
      <c r="B644" s="44"/>
    </row>
    <row r="645" ht="15.75" customHeight="1" spans="2:2">
      <c r="B645" s="44"/>
    </row>
    <row r="646" ht="15.75" customHeight="1" spans="2:2">
      <c r="B646" s="44"/>
    </row>
    <row r="647" ht="15.75" customHeight="1" spans="2:2">
      <c r="B647" s="44"/>
    </row>
    <row r="648" ht="15.75" customHeight="1" spans="2:2">
      <c r="B648" s="44"/>
    </row>
    <row r="649" ht="15.75" customHeight="1" spans="2:2">
      <c r="B649" s="44"/>
    </row>
    <row r="650" ht="15.75" customHeight="1" spans="2:2">
      <c r="B650" s="44"/>
    </row>
    <row r="651" ht="15.75" customHeight="1" spans="2:2">
      <c r="B651" s="44"/>
    </row>
    <row r="652" ht="15.75" customHeight="1" spans="2:2">
      <c r="B652" s="44"/>
    </row>
    <row r="653" ht="15.75" customHeight="1" spans="2:2">
      <c r="B653" s="44"/>
    </row>
    <row r="654" ht="15.75" customHeight="1" spans="2:2">
      <c r="B654" s="44"/>
    </row>
    <row r="655" ht="15.75" customHeight="1" spans="2:2">
      <c r="B655" s="44"/>
    </row>
    <row r="656" ht="15.75" customHeight="1" spans="2:2">
      <c r="B656" s="44"/>
    </row>
    <row r="657" ht="15.75" customHeight="1" spans="2:2">
      <c r="B657" s="44"/>
    </row>
    <row r="658" ht="15.75" customHeight="1" spans="2:2">
      <c r="B658" s="44"/>
    </row>
    <row r="659" ht="15.75" customHeight="1" spans="2:2">
      <c r="B659" s="44"/>
    </row>
    <row r="660" ht="15.75" customHeight="1" spans="2:2">
      <c r="B660" s="44"/>
    </row>
    <row r="661" ht="15.75" customHeight="1" spans="2:2">
      <c r="B661" s="44"/>
    </row>
    <row r="662" ht="15.75" customHeight="1" spans="2:2">
      <c r="B662" s="44"/>
    </row>
    <row r="663" ht="15.75" customHeight="1" spans="2:2">
      <c r="B663" s="44"/>
    </row>
    <row r="664" ht="15.75" customHeight="1" spans="2:2">
      <c r="B664" s="44"/>
    </row>
    <row r="665" ht="15.75" customHeight="1" spans="2:2">
      <c r="B665" s="44"/>
    </row>
    <row r="666" ht="15.75" customHeight="1" spans="2:2">
      <c r="B666" s="44"/>
    </row>
    <row r="667" ht="15.75" customHeight="1" spans="2:2">
      <c r="B667" s="44"/>
    </row>
    <row r="668" ht="15.75" customHeight="1" spans="2:2">
      <c r="B668" s="44"/>
    </row>
    <row r="669" ht="15.75" customHeight="1" spans="2:2">
      <c r="B669" s="44"/>
    </row>
    <row r="670" ht="15.75" customHeight="1" spans="2:2">
      <c r="B670" s="44"/>
    </row>
    <row r="671" ht="15.75" customHeight="1" spans="2:2">
      <c r="B671" s="44"/>
    </row>
    <row r="672" ht="15.75" customHeight="1" spans="2:2">
      <c r="B672" s="44"/>
    </row>
    <row r="673" ht="15.75" customHeight="1" spans="2:2">
      <c r="B673" s="44"/>
    </row>
    <row r="674" ht="15.75" customHeight="1" spans="2:2">
      <c r="B674" s="44"/>
    </row>
    <row r="675" ht="15.75" customHeight="1" spans="2:2">
      <c r="B675" s="44"/>
    </row>
    <row r="676" ht="15.75" customHeight="1" spans="2:2">
      <c r="B676" s="44"/>
    </row>
    <row r="677" ht="15.75" customHeight="1" spans="2:2">
      <c r="B677" s="44"/>
    </row>
    <row r="678" ht="15.75" customHeight="1" spans="2:2">
      <c r="B678" s="44"/>
    </row>
    <row r="679" ht="15.75" customHeight="1" spans="2:2">
      <c r="B679" s="44"/>
    </row>
    <row r="680" ht="15.75" customHeight="1" spans="2:2">
      <c r="B680" s="44"/>
    </row>
    <row r="681" ht="15.75" customHeight="1" spans="2:2">
      <c r="B681" s="44"/>
    </row>
    <row r="682" ht="15.75" customHeight="1" spans="2:2">
      <c r="B682" s="44"/>
    </row>
    <row r="683" ht="15.75" customHeight="1" spans="2:2">
      <c r="B683" s="44"/>
    </row>
    <row r="684" ht="15.75" customHeight="1" spans="2:2">
      <c r="B684" s="44"/>
    </row>
    <row r="685" ht="15.75" customHeight="1" spans="2:2">
      <c r="B685" s="44"/>
    </row>
    <row r="686" ht="15.75" customHeight="1" spans="2:2">
      <c r="B686" s="44"/>
    </row>
    <row r="687" ht="15.75" customHeight="1" spans="2:2">
      <c r="B687" s="44"/>
    </row>
    <row r="688" ht="15.75" customHeight="1" spans="2:2">
      <c r="B688" s="44"/>
    </row>
    <row r="689" ht="15.75" customHeight="1" spans="2:2">
      <c r="B689" s="44"/>
    </row>
    <row r="690" ht="15.75" customHeight="1" spans="2:2">
      <c r="B690" s="44"/>
    </row>
    <row r="691" ht="15.75" customHeight="1" spans="2:2">
      <c r="B691" s="44"/>
    </row>
    <row r="692" ht="15.75" customHeight="1" spans="2:2">
      <c r="B692" s="44"/>
    </row>
    <row r="693" ht="15.75" customHeight="1" spans="2:2">
      <c r="B693" s="44"/>
    </row>
    <row r="694" ht="15.75" customHeight="1" spans="2:2">
      <c r="B694" s="44"/>
    </row>
    <row r="695" ht="15.75" customHeight="1" spans="2:2">
      <c r="B695" s="44"/>
    </row>
    <row r="696" ht="15.75" customHeight="1" spans="2:2">
      <c r="B696" s="44"/>
    </row>
    <row r="697" ht="15.75" customHeight="1" spans="2:2">
      <c r="B697" s="44"/>
    </row>
    <row r="698" ht="15.75" customHeight="1" spans="2:2">
      <c r="B698" s="44"/>
    </row>
    <row r="699" ht="15.75" customHeight="1" spans="2:2">
      <c r="B699" s="44"/>
    </row>
    <row r="700" ht="15.75" customHeight="1" spans="2:2">
      <c r="B700" s="44"/>
    </row>
    <row r="701" ht="15.75" customHeight="1" spans="2:2">
      <c r="B701" s="44"/>
    </row>
    <row r="702" ht="15.75" customHeight="1" spans="2:2">
      <c r="B702" s="44"/>
    </row>
    <row r="703" ht="15.75" customHeight="1" spans="2:2">
      <c r="B703" s="44"/>
    </row>
    <row r="704" ht="15.75" customHeight="1" spans="2:2">
      <c r="B704" s="44"/>
    </row>
    <row r="705" ht="15.75" customHeight="1" spans="2:2">
      <c r="B705" s="44"/>
    </row>
    <row r="706" ht="15.75" customHeight="1" spans="2:2">
      <c r="B706" s="44"/>
    </row>
    <row r="707" ht="15.75" customHeight="1" spans="2:2">
      <c r="B707" s="44"/>
    </row>
    <row r="708" ht="15.75" customHeight="1" spans="2:2">
      <c r="B708" s="44"/>
    </row>
    <row r="709" ht="15.75" customHeight="1" spans="2:2">
      <c r="B709" s="44"/>
    </row>
    <row r="710" ht="15.75" customHeight="1" spans="2:2">
      <c r="B710" s="44"/>
    </row>
    <row r="711" ht="15.75" customHeight="1" spans="2:2">
      <c r="B711" s="44"/>
    </row>
    <row r="712" ht="15.75" customHeight="1" spans="2:2">
      <c r="B712" s="44"/>
    </row>
    <row r="713" ht="15.75" customHeight="1" spans="2:2">
      <c r="B713" s="44"/>
    </row>
    <row r="714" ht="15.75" customHeight="1" spans="2:2">
      <c r="B714" s="44"/>
    </row>
    <row r="715" ht="15.75" customHeight="1" spans="2:2">
      <c r="B715" s="44"/>
    </row>
    <row r="716" ht="15.75" customHeight="1" spans="2:2">
      <c r="B716" s="44"/>
    </row>
    <row r="717" ht="15.75" customHeight="1" spans="2:2">
      <c r="B717" s="44"/>
    </row>
    <row r="718" ht="15.75" customHeight="1" spans="2:2">
      <c r="B718" s="44"/>
    </row>
    <row r="719" ht="15.75" customHeight="1" spans="2:2">
      <c r="B719" s="44"/>
    </row>
    <row r="720" ht="15.75" customHeight="1" spans="2:2">
      <c r="B720" s="44"/>
    </row>
    <row r="721" ht="15.75" customHeight="1" spans="2:2">
      <c r="B721" s="44"/>
    </row>
    <row r="722" ht="15.75" customHeight="1" spans="2:2">
      <c r="B722" s="44"/>
    </row>
    <row r="723" ht="15.75" customHeight="1" spans="2:2">
      <c r="B723" s="44"/>
    </row>
    <row r="724" ht="15.75" customHeight="1" spans="2:2">
      <c r="B724" s="44"/>
    </row>
    <row r="725" ht="15.75" customHeight="1" spans="2:2">
      <c r="B725" s="44"/>
    </row>
    <row r="726" ht="15.75" customHeight="1" spans="2:2">
      <c r="B726" s="44"/>
    </row>
    <row r="727" ht="15.75" customHeight="1" spans="2:2">
      <c r="B727" s="44"/>
    </row>
    <row r="728" ht="15.75" customHeight="1" spans="2:2">
      <c r="B728" s="44"/>
    </row>
    <row r="729" ht="15.75" customHeight="1" spans="2:2">
      <c r="B729" s="44"/>
    </row>
    <row r="730" ht="15.75" customHeight="1" spans="2:2">
      <c r="B730" s="44"/>
    </row>
    <row r="731" ht="15.75" customHeight="1" spans="2:2">
      <c r="B731" s="44"/>
    </row>
    <row r="732" ht="15.75" customHeight="1" spans="2:2">
      <c r="B732" s="44"/>
    </row>
    <row r="733" ht="15.75" customHeight="1" spans="2:2">
      <c r="B733" s="44"/>
    </row>
    <row r="734" ht="15.75" customHeight="1" spans="2:2">
      <c r="B734" s="44"/>
    </row>
    <row r="735" ht="15.75" customHeight="1" spans="2:2">
      <c r="B735" s="44"/>
    </row>
    <row r="736" ht="15.75" customHeight="1" spans="2:2">
      <c r="B736" s="44"/>
    </row>
    <row r="737" ht="15.75" customHeight="1" spans="2:2">
      <c r="B737" s="44"/>
    </row>
    <row r="738" ht="15.75" customHeight="1" spans="2:2">
      <c r="B738" s="44"/>
    </row>
    <row r="739" ht="15.75" customHeight="1" spans="2:2">
      <c r="B739" s="44"/>
    </row>
    <row r="740" ht="15.75" customHeight="1" spans="2:2">
      <c r="B740" s="44"/>
    </row>
    <row r="741" ht="15.75" customHeight="1" spans="2:2">
      <c r="B741" s="44"/>
    </row>
    <row r="742" ht="15.75" customHeight="1" spans="2:2">
      <c r="B742" s="44"/>
    </row>
    <row r="743" ht="15.75" customHeight="1" spans="2:2">
      <c r="B743" s="44"/>
    </row>
    <row r="744" ht="15.75" customHeight="1" spans="2:2">
      <c r="B744" s="44"/>
    </row>
    <row r="745" ht="15.75" customHeight="1" spans="2:2">
      <c r="B745" s="44"/>
    </row>
    <row r="746" ht="15.75" customHeight="1" spans="2:2">
      <c r="B746" s="44"/>
    </row>
    <row r="747" ht="15.75" customHeight="1" spans="2:2">
      <c r="B747" s="44"/>
    </row>
    <row r="748" ht="15.75" customHeight="1" spans="2:2">
      <c r="B748" s="44"/>
    </row>
    <row r="749" ht="15.75" customHeight="1" spans="2:2">
      <c r="B749" s="44"/>
    </row>
    <row r="750" ht="15.75" customHeight="1" spans="2:2">
      <c r="B750" s="44"/>
    </row>
    <row r="751" ht="15.75" customHeight="1" spans="2:2">
      <c r="B751" s="44"/>
    </row>
    <row r="752" ht="15.75" customHeight="1" spans="2:2">
      <c r="B752" s="44"/>
    </row>
    <row r="753" ht="15.75" customHeight="1" spans="2:2">
      <c r="B753" s="44"/>
    </row>
    <row r="754" ht="15.75" customHeight="1" spans="2:2">
      <c r="B754" s="44"/>
    </row>
    <row r="755" ht="15.75" customHeight="1" spans="2:2">
      <c r="B755" s="44"/>
    </row>
    <row r="756" ht="15.75" customHeight="1" spans="2:2">
      <c r="B756" s="44"/>
    </row>
    <row r="757" ht="15.75" customHeight="1" spans="2:2">
      <c r="B757" s="44"/>
    </row>
    <row r="758" ht="15.75" customHeight="1" spans="2:2">
      <c r="B758" s="44"/>
    </row>
    <row r="759" ht="15.75" customHeight="1" spans="2:2">
      <c r="B759" s="44"/>
    </row>
    <row r="760" ht="15.75" customHeight="1" spans="2:2">
      <c r="B760" s="44"/>
    </row>
    <row r="761" ht="15.75" customHeight="1" spans="2:2">
      <c r="B761" s="44"/>
    </row>
    <row r="762" ht="15.75" customHeight="1" spans="2:2">
      <c r="B762" s="44"/>
    </row>
    <row r="763" ht="15.75" customHeight="1" spans="2:2">
      <c r="B763" s="44"/>
    </row>
    <row r="764" ht="15.75" customHeight="1" spans="2:2">
      <c r="B764" s="44"/>
    </row>
    <row r="765" ht="15.75" customHeight="1" spans="2:2">
      <c r="B765" s="44"/>
    </row>
    <row r="766" ht="15.75" customHeight="1" spans="2:2">
      <c r="B766" s="44"/>
    </row>
    <row r="767" ht="15.75" customHeight="1" spans="2:2">
      <c r="B767" s="44"/>
    </row>
    <row r="768" ht="15.75" customHeight="1" spans="2:2">
      <c r="B768" s="44"/>
    </row>
    <row r="769" ht="15.75" customHeight="1" spans="2:2">
      <c r="B769" s="44"/>
    </row>
    <row r="770" ht="15.75" customHeight="1" spans="2:2">
      <c r="B770" s="44"/>
    </row>
    <row r="771" ht="15.75" customHeight="1" spans="2:2">
      <c r="B771" s="44"/>
    </row>
    <row r="772" ht="15.75" customHeight="1" spans="2:2">
      <c r="B772" s="44"/>
    </row>
    <row r="773" ht="15.75" customHeight="1" spans="2:2">
      <c r="B773" s="44"/>
    </row>
    <row r="774" ht="15.75" customHeight="1" spans="2:2">
      <c r="B774" s="44"/>
    </row>
    <row r="775" ht="15.75" customHeight="1" spans="2:2">
      <c r="B775" s="44"/>
    </row>
    <row r="776" ht="15.75" customHeight="1" spans="2:2">
      <c r="B776" s="44"/>
    </row>
    <row r="777" ht="15.75" customHeight="1" spans="2:2">
      <c r="B777" s="44"/>
    </row>
    <row r="778" ht="15.75" customHeight="1" spans="2:2">
      <c r="B778" s="44"/>
    </row>
    <row r="779" ht="15.75" customHeight="1" spans="2:2">
      <c r="B779" s="44"/>
    </row>
    <row r="780" ht="15.75" customHeight="1" spans="2:2">
      <c r="B780" s="44"/>
    </row>
    <row r="781" ht="15.75" customHeight="1" spans="2:2">
      <c r="B781" s="44"/>
    </row>
    <row r="782" ht="15.75" customHeight="1" spans="2:2">
      <c r="B782" s="44"/>
    </row>
    <row r="783" ht="15.75" customHeight="1" spans="2:2">
      <c r="B783" s="44"/>
    </row>
    <row r="784" ht="15.75" customHeight="1" spans="2:2">
      <c r="B784" s="44"/>
    </row>
    <row r="785" ht="15.75" customHeight="1" spans="2:2">
      <c r="B785" s="44"/>
    </row>
    <row r="786" ht="15.75" customHeight="1" spans="2:2">
      <c r="B786" s="44"/>
    </row>
    <row r="787" ht="15.75" customHeight="1" spans="2:2">
      <c r="B787" s="44"/>
    </row>
    <row r="788" ht="15.75" customHeight="1" spans="2:2">
      <c r="B788" s="44"/>
    </row>
    <row r="789" ht="15.75" customHeight="1" spans="2:2">
      <c r="B789" s="44"/>
    </row>
    <row r="790" ht="15.75" customHeight="1" spans="2:2">
      <c r="B790" s="44"/>
    </row>
    <row r="791" ht="15.75" customHeight="1" spans="2:2">
      <c r="B791" s="44"/>
    </row>
    <row r="792" ht="15.75" customHeight="1" spans="2:2">
      <c r="B792" s="44"/>
    </row>
    <row r="793" ht="15.75" customHeight="1" spans="2:2">
      <c r="B793" s="44"/>
    </row>
    <row r="794" ht="15.75" customHeight="1" spans="2:2">
      <c r="B794" s="44"/>
    </row>
    <row r="795" ht="15.75" customHeight="1" spans="2:2">
      <c r="B795" s="44"/>
    </row>
    <row r="796" ht="15.75" customHeight="1" spans="2:2">
      <c r="B796" s="44"/>
    </row>
    <row r="797" ht="15.75" customHeight="1" spans="2:2">
      <c r="B797" s="44"/>
    </row>
    <row r="798" ht="15.75" customHeight="1" spans="2:2">
      <c r="B798" s="44"/>
    </row>
    <row r="799" ht="15.75" customHeight="1" spans="2:2">
      <c r="B799" s="44"/>
    </row>
    <row r="800" ht="15.75" customHeight="1" spans="2:2">
      <c r="B800" s="44"/>
    </row>
    <row r="801" ht="15.75" customHeight="1" spans="2:2">
      <c r="B801" s="44"/>
    </row>
    <row r="802" ht="15.75" customHeight="1" spans="2:2">
      <c r="B802" s="44"/>
    </row>
    <row r="803" ht="15.75" customHeight="1" spans="2:2">
      <c r="B803" s="44"/>
    </row>
    <row r="804" ht="15.75" customHeight="1" spans="2:2">
      <c r="B804" s="44"/>
    </row>
    <row r="805" ht="15.75" customHeight="1" spans="2:2">
      <c r="B805" s="44"/>
    </row>
    <row r="806" ht="15.75" customHeight="1" spans="2:2">
      <c r="B806" s="44"/>
    </row>
    <row r="807" ht="15.75" customHeight="1" spans="2:2">
      <c r="B807" s="44"/>
    </row>
    <row r="808" ht="15.75" customHeight="1" spans="2:2">
      <c r="B808" s="44"/>
    </row>
    <row r="809" ht="15.75" customHeight="1" spans="2:2">
      <c r="B809" s="44"/>
    </row>
    <row r="810" ht="15.75" customHeight="1" spans="2:2">
      <c r="B810" s="44"/>
    </row>
    <row r="811" ht="15.75" customHeight="1" spans="2:2">
      <c r="B811" s="44"/>
    </row>
    <row r="812" ht="15.75" customHeight="1" spans="2:2">
      <c r="B812" s="44"/>
    </row>
    <row r="813" ht="15.75" customHeight="1" spans="2:2">
      <c r="B813" s="44"/>
    </row>
    <row r="814" ht="15.75" customHeight="1" spans="2:2">
      <c r="B814" s="44"/>
    </row>
    <row r="815" ht="15.75" customHeight="1" spans="2:2">
      <c r="B815" s="44"/>
    </row>
    <row r="816" ht="15.75" customHeight="1" spans="2:2">
      <c r="B816" s="44"/>
    </row>
    <row r="817" ht="15.75" customHeight="1" spans="2:2">
      <c r="B817" s="44"/>
    </row>
    <row r="818" ht="15.75" customHeight="1" spans="2:2">
      <c r="B818" s="44"/>
    </row>
    <row r="819" ht="15.75" customHeight="1" spans="2:2">
      <c r="B819" s="44"/>
    </row>
    <row r="820" ht="15.75" customHeight="1" spans="2:2">
      <c r="B820" s="44"/>
    </row>
    <row r="821" ht="15.75" customHeight="1" spans="2:2">
      <c r="B821" s="44"/>
    </row>
    <row r="822" ht="15.75" customHeight="1" spans="2:2">
      <c r="B822" s="44"/>
    </row>
    <row r="823" ht="15.75" customHeight="1" spans="2:2">
      <c r="B823" s="44"/>
    </row>
    <row r="824" ht="15.75" customHeight="1" spans="2:2">
      <c r="B824" s="44"/>
    </row>
    <row r="825" ht="15.75" customHeight="1" spans="2:2">
      <c r="B825" s="44"/>
    </row>
    <row r="826" ht="15.75" customHeight="1" spans="2:2">
      <c r="B826" s="44"/>
    </row>
    <row r="827" ht="15.75" customHeight="1" spans="2:2">
      <c r="B827" s="44"/>
    </row>
    <row r="828" ht="15.75" customHeight="1" spans="2:2">
      <c r="B828" s="44"/>
    </row>
    <row r="829" ht="15.75" customHeight="1" spans="2:2">
      <c r="B829" s="44"/>
    </row>
    <row r="830" ht="15.75" customHeight="1" spans="2:2">
      <c r="B830" s="44"/>
    </row>
    <row r="831" ht="15.75" customHeight="1" spans="2:2">
      <c r="B831" s="44"/>
    </row>
    <row r="832" ht="15.75" customHeight="1" spans="2:2">
      <c r="B832" s="44"/>
    </row>
    <row r="833" ht="15.75" customHeight="1" spans="2:2">
      <c r="B833" s="44"/>
    </row>
    <row r="834" ht="15.75" customHeight="1" spans="2:2">
      <c r="B834" s="44"/>
    </row>
    <row r="835" ht="15.75" customHeight="1" spans="2:2">
      <c r="B835" s="44"/>
    </row>
    <row r="836" ht="15.75" customHeight="1" spans="2:2">
      <c r="B836" s="44"/>
    </row>
    <row r="837" ht="15.75" customHeight="1" spans="2:2">
      <c r="B837" s="44"/>
    </row>
    <row r="838" ht="15.75" customHeight="1" spans="2:2">
      <c r="B838" s="44"/>
    </row>
    <row r="839" ht="15.75" customHeight="1" spans="2:2">
      <c r="B839" s="44"/>
    </row>
    <row r="840" ht="15.75" customHeight="1" spans="2:2">
      <c r="B840" s="44"/>
    </row>
    <row r="841" ht="15.75" customHeight="1" spans="2:2">
      <c r="B841" s="44"/>
    </row>
    <row r="842" ht="15.75" customHeight="1" spans="2:2">
      <c r="B842" s="44"/>
    </row>
    <row r="843" ht="15.75" customHeight="1" spans="2:2">
      <c r="B843" s="44"/>
    </row>
    <row r="844" ht="15.75" customHeight="1" spans="2:2">
      <c r="B844" s="44"/>
    </row>
    <row r="845" ht="15.75" customHeight="1" spans="2:2">
      <c r="B845" s="44"/>
    </row>
    <row r="846" ht="15.75" customHeight="1" spans="2:2">
      <c r="B846" s="44"/>
    </row>
    <row r="847" ht="15.75" customHeight="1" spans="2:2">
      <c r="B847" s="44"/>
    </row>
    <row r="848" ht="15.75" customHeight="1" spans="2:2">
      <c r="B848" s="44"/>
    </row>
    <row r="849" ht="15.75" customHeight="1" spans="2:2">
      <c r="B849" s="44"/>
    </row>
    <row r="850" ht="15.75" customHeight="1" spans="2:2">
      <c r="B850" s="44"/>
    </row>
    <row r="851" ht="15.75" customHeight="1" spans="2:2">
      <c r="B851" s="44"/>
    </row>
    <row r="852" ht="15.75" customHeight="1" spans="2:2">
      <c r="B852" s="44"/>
    </row>
    <row r="853" ht="15.75" customHeight="1" spans="2:2">
      <c r="B853" s="44"/>
    </row>
    <row r="854" ht="15.75" customHeight="1" spans="2:2">
      <c r="B854" s="44"/>
    </row>
    <row r="855" ht="15.75" customHeight="1" spans="2:2">
      <c r="B855" s="44"/>
    </row>
    <row r="856" ht="15.75" customHeight="1" spans="2:2">
      <c r="B856" s="44"/>
    </row>
    <row r="857" ht="15.75" customHeight="1" spans="2:2">
      <c r="B857" s="44"/>
    </row>
    <row r="858" ht="15.75" customHeight="1" spans="2:2">
      <c r="B858" s="44"/>
    </row>
    <row r="859" ht="15.75" customHeight="1" spans="2:2">
      <c r="B859" s="44"/>
    </row>
    <row r="860" ht="15.75" customHeight="1" spans="2:2">
      <c r="B860" s="44"/>
    </row>
    <row r="861" ht="15.75" customHeight="1" spans="2:2">
      <c r="B861" s="44"/>
    </row>
    <row r="862" ht="15.75" customHeight="1" spans="2:2">
      <c r="B862" s="44"/>
    </row>
    <row r="863" ht="15.75" customHeight="1" spans="2:2">
      <c r="B863" s="44"/>
    </row>
    <row r="864" ht="15.75" customHeight="1" spans="2:2">
      <c r="B864" s="44"/>
    </row>
    <row r="865" ht="15.75" customHeight="1" spans="2:2">
      <c r="B865" s="44"/>
    </row>
    <row r="866" ht="15.75" customHeight="1" spans="2:2">
      <c r="B866" s="44"/>
    </row>
    <row r="867" ht="15.75" customHeight="1" spans="2:2">
      <c r="B867" s="44"/>
    </row>
    <row r="868" ht="15.75" customHeight="1" spans="2:2">
      <c r="B868" s="44"/>
    </row>
    <row r="869" ht="15.75" customHeight="1" spans="2:2">
      <c r="B869" s="44"/>
    </row>
    <row r="870" ht="15.75" customHeight="1" spans="2:2">
      <c r="B870" s="44"/>
    </row>
    <row r="871" ht="15.75" customHeight="1" spans="2:2">
      <c r="B871" s="44"/>
    </row>
    <row r="872" ht="15.75" customHeight="1" spans="2:2">
      <c r="B872" s="44"/>
    </row>
    <row r="873" ht="15.75" customHeight="1" spans="2:2">
      <c r="B873" s="44"/>
    </row>
    <row r="874" ht="15.75" customHeight="1" spans="2:2">
      <c r="B874" s="44"/>
    </row>
    <row r="875" ht="15.75" customHeight="1" spans="2:2">
      <c r="B875" s="44"/>
    </row>
    <row r="876" ht="15.75" customHeight="1" spans="2:2">
      <c r="B876" s="44"/>
    </row>
    <row r="877" ht="15.75" customHeight="1" spans="2:2">
      <c r="B877" s="44"/>
    </row>
    <row r="878" ht="15.75" customHeight="1" spans="2:2">
      <c r="B878" s="44"/>
    </row>
    <row r="879" ht="15.75" customHeight="1" spans="2:2">
      <c r="B879" s="44"/>
    </row>
    <row r="880" ht="15.75" customHeight="1" spans="2:2">
      <c r="B880" s="44"/>
    </row>
    <row r="881" ht="15.75" customHeight="1" spans="2:2">
      <c r="B881" s="44"/>
    </row>
    <row r="882" ht="15.75" customHeight="1" spans="2:2">
      <c r="B882" s="44"/>
    </row>
    <row r="883" ht="15.75" customHeight="1" spans="2:2">
      <c r="B883" s="44"/>
    </row>
    <row r="884" ht="15.75" customHeight="1" spans="2:2">
      <c r="B884" s="44"/>
    </row>
    <row r="885" ht="15.75" customHeight="1" spans="2:2">
      <c r="B885" s="44"/>
    </row>
    <row r="886" ht="15.75" customHeight="1" spans="2:2">
      <c r="B886" s="44"/>
    </row>
    <row r="887" ht="15.75" customHeight="1" spans="2:2">
      <c r="B887" s="44"/>
    </row>
    <row r="888" ht="15.75" customHeight="1" spans="2:2">
      <c r="B888" s="44"/>
    </row>
    <row r="889" ht="15.75" customHeight="1" spans="2:2">
      <c r="B889" s="44"/>
    </row>
    <row r="890" ht="15.75" customHeight="1" spans="2:2">
      <c r="B890" s="44"/>
    </row>
    <row r="891" ht="15.75" customHeight="1" spans="2:2">
      <c r="B891" s="44"/>
    </row>
    <row r="892" ht="15.75" customHeight="1" spans="2:2">
      <c r="B892" s="44"/>
    </row>
    <row r="893" ht="15.75" customHeight="1" spans="2:2">
      <c r="B893" s="44"/>
    </row>
    <row r="894" ht="15.75" customHeight="1" spans="2:2">
      <c r="B894" s="44"/>
    </row>
    <row r="895" ht="15.75" customHeight="1" spans="2:2">
      <c r="B895" s="44"/>
    </row>
    <row r="896" ht="15.75" customHeight="1" spans="2:2">
      <c r="B896" s="44"/>
    </row>
    <row r="897" ht="15.75" customHeight="1" spans="2:2">
      <c r="B897" s="44"/>
    </row>
    <row r="898" ht="15.75" customHeight="1" spans="2:2">
      <c r="B898" s="44"/>
    </row>
    <row r="899" ht="15.75" customHeight="1" spans="2:2">
      <c r="B899" s="44"/>
    </row>
    <row r="900" ht="15.75" customHeight="1" spans="2:2">
      <c r="B900" s="44"/>
    </row>
    <row r="901" ht="15.75" customHeight="1" spans="2:2">
      <c r="B901" s="44"/>
    </row>
    <row r="902" ht="15.75" customHeight="1" spans="2:2">
      <c r="B902" s="44"/>
    </row>
    <row r="903" ht="15.75" customHeight="1" spans="2:2">
      <c r="B903" s="44"/>
    </row>
    <row r="904" ht="15.75" customHeight="1" spans="2:2">
      <c r="B904" s="44"/>
    </row>
    <row r="905" ht="15.75" customHeight="1" spans="2:2">
      <c r="B905" s="44"/>
    </row>
    <row r="906" ht="15.75" customHeight="1" spans="2:2">
      <c r="B906" s="44"/>
    </row>
    <row r="907" ht="15.75" customHeight="1" spans="2:2">
      <c r="B907" s="44"/>
    </row>
    <row r="908" ht="15.75" customHeight="1" spans="2:2">
      <c r="B908" s="44"/>
    </row>
    <row r="909" ht="15.75" customHeight="1" spans="2:2">
      <c r="B909" s="44"/>
    </row>
    <row r="910" ht="15.75" customHeight="1" spans="2:2">
      <c r="B910" s="44"/>
    </row>
    <row r="911" ht="15.75" customHeight="1" spans="2:2">
      <c r="B911" s="44"/>
    </row>
    <row r="912" ht="15.75" customHeight="1" spans="2:2">
      <c r="B912" s="44"/>
    </row>
    <row r="913" ht="15.75" customHeight="1" spans="2:2">
      <c r="B913" s="44"/>
    </row>
    <row r="914" ht="15.75" customHeight="1" spans="2:2">
      <c r="B914" s="44"/>
    </row>
    <row r="915" ht="15.75" customHeight="1" spans="2:2">
      <c r="B915" s="44"/>
    </row>
    <row r="916" ht="15.75" customHeight="1" spans="2:2">
      <c r="B916" s="44"/>
    </row>
    <row r="917" ht="15.75" customHeight="1" spans="2:2">
      <c r="B917" s="44"/>
    </row>
    <row r="918" ht="15.75" customHeight="1" spans="2:2">
      <c r="B918" s="44"/>
    </row>
    <row r="919" ht="15.75" customHeight="1" spans="2:2">
      <c r="B919" s="44"/>
    </row>
    <row r="920" ht="15.75" customHeight="1" spans="2:2">
      <c r="B920" s="44"/>
    </row>
    <row r="921" ht="15.75" customHeight="1" spans="2:2">
      <c r="B921" s="44"/>
    </row>
    <row r="922" ht="15.75" customHeight="1" spans="2:2">
      <c r="B922" s="44"/>
    </row>
    <row r="923" ht="15.75" customHeight="1" spans="2:2">
      <c r="B923" s="44"/>
    </row>
    <row r="924" ht="15.75" customHeight="1" spans="2:2">
      <c r="B924" s="44"/>
    </row>
    <row r="925" ht="15.75" customHeight="1" spans="2:2">
      <c r="B925" s="44"/>
    </row>
    <row r="926" ht="15.75" customHeight="1" spans="2:2">
      <c r="B926" s="44"/>
    </row>
    <row r="927" ht="15.75" customHeight="1" spans="2:2">
      <c r="B927" s="44"/>
    </row>
    <row r="928" ht="15.75" customHeight="1" spans="2:2">
      <c r="B928" s="44"/>
    </row>
    <row r="929" ht="15.75" customHeight="1" spans="2:2">
      <c r="B929" s="44"/>
    </row>
    <row r="930" ht="15.75" customHeight="1" spans="2:2">
      <c r="B930" s="44"/>
    </row>
    <row r="931" ht="15.75" customHeight="1" spans="2:2">
      <c r="B931" s="44"/>
    </row>
    <row r="932" ht="15.75" customHeight="1" spans="2:2">
      <c r="B932" s="44"/>
    </row>
    <row r="933" ht="15.75" customHeight="1" spans="2:2">
      <c r="B933" s="44"/>
    </row>
    <row r="934" ht="15.75" customHeight="1" spans="2:2">
      <c r="B934" s="44"/>
    </row>
    <row r="935" ht="15.75" customHeight="1" spans="2:2">
      <c r="B935" s="44"/>
    </row>
    <row r="936" ht="15.75" customHeight="1" spans="2:2">
      <c r="B936" s="44"/>
    </row>
    <row r="937" ht="15.75" customHeight="1" spans="2:2">
      <c r="B937" s="44"/>
    </row>
    <row r="938" ht="15.75" customHeight="1" spans="2:2">
      <c r="B938" s="44"/>
    </row>
    <row r="939" ht="15.75" customHeight="1" spans="2:2">
      <c r="B939" s="44"/>
    </row>
    <row r="940" ht="15.75" customHeight="1" spans="2:2">
      <c r="B940" s="44"/>
    </row>
    <row r="941" ht="15.75" customHeight="1" spans="2:2">
      <c r="B941" s="44"/>
    </row>
    <row r="942" ht="15.75" customHeight="1" spans="2:2">
      <c r="B942" s="44"/>
    </row>
    <row r="943" ht="15.75" customHeight="1" spans="2:2">
      <c r="B943" s="44"/>
    </row>
    <row r="944" ht="15.75" customHeight="1" spans="2:2">
      <c r="B944" s="44"/>
    </row>
    <row r="945" ht="15.75" customHeight="1" spans="2:2">
      <c r="B945" s="44"/>
    </row>
    <row r="946" ht="15.75" customHeight="1" spans="2:2">
      <c r="B946" s="44"/>
    </row>
  </sheetData>
  <mergeCells count="2">
    <mergeCell ref="N18:O18"/>
    <mergeCell ref="P18:Q18"/>
  </mergeCells>
  <dataValidations count="3">
    <dataValidation type="list" allowBlank="1" showErrorMessage="1" sqref="E24">
      <formula1>"opposing movement,aiding movement"</formula1>
    </dataValidation>
    <dataValidation type="list" allowBlank="1" showErrorMessage="1" sqref="E30">
      <formula1>"gravity aided,against gravity"</formula1>
    </dataValidation>
    <dataValidation type="list" allowBlank="1" showErrorMessage="1" sqref="E63">
      <formula1>"yes,no"</formula1>
    </dataValidation>
  </dataValidations>
  <pageMargins left="0.7" right="0.7" top="0.75" bottom="0.75" header="0" footer="0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U41"/>
  <sheetViews>
    <sheetView workbookViewId="0">
      <selection activeCell="A1" sqref="A1"/>
    </sheetView>
  </sheetViews>
  <sheetFormatPr defaultColWidth="14.4296875" defaultRowHeight="15" customHeight="1"/>
  <cols>
    <col min="1" max="1" width="35.4296875" customWidth="1"/>
    <col min="3" max="3" width="26.7109375" customWidth="1"/>
    <col min="4" max="4" width="20.5703125" customWidth="1"/>
    <col min="5" max="5" width="19.4296875" customWidth="1"/>
    <col min="6" max="6" width="19.7109375" customWidth="1"/>
    <col min="7" max="7" width="19.859375" customWidth="1"/>
    <col min="8" max="8" width="24.4296875" customWidth="1"/>
    <col min="9" max="9" width="28" customWidth="1"/>
  </cols>
  <sheetData>
    <row r="2" ht="20.4" spans="1:21">
      <c r="A2" s="23" t="s">
        <v>141</v>
      </c>
    </row>
    <row r="3" ht="16.8" spans="1:21">
      <c r="A3" s="70" t="s">
        <v>142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</row>
    <row r="4" ht="16.8" spans="1:21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</row>
    <row r="5" ht="44.25" customHeight="1" spans="1:21">
      <c r="A5" s="27" t="s">
        <v>93</v>
      </c>
      <c r="B5" s="28" t="s">
        <v>143</v>
      </c>
      <c r="C5" s="28" t="s">
        <v>25</v>
      </c>
      <c r="D5" s="28" t="s">
        <v>144</v>
      </c>
      <c r="E5" s="28" t="s">
        <v>145</v>
      </c>
      <c r="F5" s="28" t="s">
        <v>146</v>
      </c>
      <c r="G5" s="28" t="s">
        <v>22</v>
      </c>
      <c r="H5" s="28" t="s">
        <v>66</v>
      </c>
      <c r="I5" s="28" t="s">
        <v>70</v>
      </c>
      <c r="J5" s="28" t="s">
        <v>76</v>
      </c>
      <c r="K5" s="28" t="s">
        <v>62</v>
      </c>
      <c r="L5" s="28" t="s">
        <v>87</v>
      </c>
      <c r="M5" s="28" t="s">
        <v>117</v>
      </c>
      <c r="N5" s="28" t="s">
        <v>131</v>
      </c>
      <c r="O5" s="28" t="s">
        <v>136</v>
      </c>
      <c r="P5" s="28" t="s">
        <v>125</v>
      </c>
      <c r="Q5" s="29" t="s">
        <v>147</v>
      </c>
      <c r="R5" s="30"/>
      <c r="S5" s="30"/>
      <c r="T5" s="30"/>
      <c r="U5" s="30"/>
    </row>
    <row r="6" ht="16.8" spans="1:21">
      <c r="A6" s="31" t="s">
        <v>148</v>
      </c>
      <c r="B6" s="32" t="s">
        <v>149</v>
      </c>
      <c r="C6" s="32" t="s">
        <v>150</v>
      </c>
      <c r="D6" s="32" t="s">
        <v>151</v>
      </c>
      <c r="E6" s="71" t="s">
        <v>152</v>
      </c>
      <c r="F6" s="71" t="s">
        <v>49</v>
      </c>
      <c r="G6" s="33" t="s">
        <v>153</v>
      </c>
      <c r="H6" s="71" t="s">
        <v>152</v>
      </c>
      <c r="I6" s="71" t="s">
        <v>152</v>
      </c>
      <c r="J6" s="33" t="s">
        <v>153</v>
      </c>
      <c r="K6" s="71" t="s">
        <v>152</v>
      </c>
      <c r="L6" s="33" t="s">
        <v>153</v>
      </c>
      <c r="M6" s="71" t="s">
        <v>152</v>
      </c>
      <c r="N6" s="71" t="s">
        <v>152</v>
      </c>
      <c r="O6" s="71" t="s">
        <v>152</v>
      </c>
      <c r="P6" s="71" t="s">
        <v>152</v>
      </c>
      <c r="Q6" s="34" t="s">
        <v>154</v>
      </c>
    </row>
    <row r="7" ht="16.8" spans="1:21">
      <c r="A7" s="35" t="s">
        <v>148</v>
      </c>
      <c r="B7" s="36" t="s">
        <v>149</v>
      </c>
      <c r="C7" s="36" t="s">
        <v>150</v>
      </c>
      <c r="D7" s="36" t="s">
        <v>155</v>
      </c>
      <c r="E7" s="72" t="s">
        <v>152</v>
      </c>
      <c r="F7" s="72" t="s">
        <v>49</v>
      </c>
      <c r="G7" s="33" t="s">
        <v>153</v>
      </c>
      <c r="H7" s="72" t="s">
        <v>152</v>
      </c>
      <c r="I7" s="72" t="s">
        <v>152</v>
      </c>
      <c r="J7" s="33" t="s">
        <v>153</v>
      </c>
      <c r="K7" s="72" t="s">
        <v>152</v>
      </c>
      <c r="L7" s="33" t="s">
        <v>153</v>
      </c>
      <c r="M7" s="72" t="s">
        <v>152</v>
      </c>
      <c r="N7" s="72" t="s">
        <v>152</v>
      </c>
      <c r="O7" s="72" t="s">
        <v>152</v>
      </c>
      <c r="P7" s="72" t="s">
        <v>152</v>
      </c>
      <c r="Q7" s="37" t="s">
        <v>154</v>
      </c>
    </row>
    <row r="8" ht="16.8" spans="1:21">
      <c r="A8" s="31" t="s">
        <v>148</v>
      </c>
      <c r="B8" s="32" t="s">
        <v>149</v>
      </c>
      <c r="C8" s="32" t="s">
        <v>150</v>
      </c>
      <c r="D8" s="32" t="s">
        <v>156</v>
      </c>
      <c r="E8" s="71" t="s">
        <v>49</v>
      </c>
      <c r="F8" s="71" t="s">
        <v>152</v>
      </c>
      <c r="G8" s="33" t="s">
        <v>153</v>
      </c>
      <c r="H8" s="71" t="s">
        <v>49</v>
      </c>
      <c r="I8" s="71" t="s">
        <v>49</v>
      </c>
      <c r="J8" s="33" t="s">
        <v>153</v>
      </c>
      <c r="K8" s="71" t="s">
        <v>49</v>
      </c>
      <c r="L8" s="33" t="s">
        <v>153</v>
      </c>
      <c r="M8" s="71" t="s">
        <v>49</v>
      </c>
      <c r="N8" s="71" t="s">
        <v>49</v>
      </c>
      <c r="O8" s="71" t="s">
        <v>49</v>
      </c>
      <c r="P8" s="71" t="s">
        <v>49</v>
      </c>
      <c r="Q8" s="34" t="s">
        <v>154</v>
      </c>
    </row>
    <row r="9" ht="16.8" spans="1:21">
      <c r="A9" s="35" t="s">
        <v>148</v>
      </c>
      <c r="B9" s="36" t="s">
        <v>157</v>
      </c>
      <c r="C9" s="36" t="s">
        <v>26</v>
      </c>
      <c r="D9" s="36" t="s">
        <v>151</v>
      </c>
      <c r="E9" s="72" t="s">
        <v>152</v>
      </c>
      <c r="F9" s="72" t="s">
        <v>49</v>
      </c>
      <c r="G9" s="72" t="s">
        <v>152</v>
      </c>
      <c r="H9" s="72" t="s">
        <v>152</v>
      </c>
      <c r="I9" s="72" t="s">
        <v>152</v>
      </c>
      <c r="J9" s="33" t="s">
        <v>153</v>
      </c>
      <c r="K9" s="72" t="s">
        <v>152</v>
      </c>
      <c r="L9" s="33" t="s">
        <v>153</v>
      </c>
      <c r="M9" s="72" t="s">
        <v>152</v>
      </c>
      <c r="N9" s="72" t="s">
        <v>152</v>
      </c>
      <c r="O9" s="72" t="s">
        <v>152</v>
      </c>
      <c r="P9" s="72" t="s">
        <v>152</v>
      </c>
      <c r="Q9" s="37" t="s">
        <v>158</v>
      </c>
    </row>
    <row r="10" ht="16.8" spans="1:21">
      <c r="A10" s="31" t="s">
        <v>148</v>
      </c>
      <c r="B10" s="32" t="s">
        <v>157</v>
      </c>
      <c r="C10" s="32" t="s">
        <v>26</v>
      </c>
      <c r="D10" s="32" t="s">
        <v>155</v>
      </c>
      <c r="E10" s="71" t="s">
        <v>152</v>
      </c>
      <c r="F10" s="71" t="s">
        <v>49</v>
      </c>
      <c r="G10" s="71" t="s">
        <v>152</v>
      </c>
      <c r="H10" s="71" t="s">
        <v>152</v>
      </c>
      <c r="I10" s="71" t="s">
        <v>152</v>
      </c>
      <c r="J10" s="33" t="s">
        <v>153</v>
      </c>
      <c r="K10" s="71" t="s">
        <v>152</v>
      </c>
      <c r="L10" s="33" t="s">
        <v>153</v>
      </c>
      <c r="M10" s="71" t="s">
        <v>152</v>
      </c>
      <c r="N10" s="71" t="s">
        <v>152</v>
      </c>
      <c r="O10" s="71" t="s">
        <v>152</v>
      </c>
      <c r="P10" s="71" t="s">
        <v>152</v>
      </c>
      <c r="Q10" s="34" t="s">
        <v>158</v>
      </c>
    </row>
    <row r="11" ht="16.8" spans="1:21">
      <c r="A11" s="35" t="s">
        <v>148</v>
      </c>
      <c r="B11" s="36" t="s">
        <v>157</v>
      </c>
      <c r="C11" s="36" t="s">
        <v>26</v>
      </c>
      <c r="D11" s="36" t="s">
        <v>156</v>
      </c>
      <c r="E11" s="72" t="s">
        <v>49</v>
      </c>
      <c r="F11" s="72" t="s">
        <v>152</v>
      </c>
      <c r="G11" s="72" t="s">
        <v>49</v>
      </c>
      <c r="H11" s="72" t="s">
        <v>49</v>
      </c>
      <c r="I11" s="72" t="s">
        <v>49</v>
      </c>
      <c r="J11" s="33" t="s">
        <v>153</v>
      </c>
      <c r="K11" s="72" t="s">
        <v>49</v>
      </c>
      <c r="L11" s="33" t="s">
        <v>153</v>
      </c>
      <c r="M11" s="72" t="s">
        <v>49</v>
      </c>
      <c r="N11" s="72" t="s">
        <v>49</v>
      </c>
      <c r="O11" s="72" t="s">
        <v>49</v>
      </c>
      <c r="P11" s="72" t="s">
        <v>49</v>
      </c>
      <c r="Q11" s="37" t="s">
        <v>158</v>
      </c>
    </row>
    <row r="12" ht="16.8" spans="1:21">
      <c r="A12" s="31" t="s">
        <v>148</v>
      </c>
      <c r="B12" s="32" t="s">
        <v>157</v>
      </c>
      <c r="C12" s="32" t="s">
        <v>159</v>
      </c>
      <c r="D12" s="32" t="s">
        <v>151</v>
      </c>
      <c r="E12" s="71" t="s">
        <v>152</v>
      </c>
      <c r="F12" s="71" t="s">
        <v>49</v>
      </c>
      <c r="G12" s="71" t="s">
        <v>49</v>
      </c>
      <c r="H12" s="71" t="s">
        <v>152</v>
      </c>
      <c r="I12" s="71" t="s">
        <v>152</v>
      </c>
      <c r="J12" s="33" t="s">
        <v>153</v>
      </c>
      <c r="K12" s="71" t="s">
        <v>152</v>
      </c>
      <c r="L12" s="33" t="s">
        <v>153</v>
      </c>
      <c r="M12" s="71" t="s">
        <v>152</v>
      </c>
      <c r="N12" s="71" t="s">
        <v>152</v>
      </c>
      <c r="O12" s="71" t="s">
        <v>152</v>
      </c>
      <c r="P12" s="71" t="s">
        <v>152</v>
      </c>
      <c r="Q12" s="34" t="s">
        <v>160</v>
      </c>
    </row>
    <row r="13" ht="16.8" spans="1:21">
      <c r="A13" s="35" t="s">
        <v>148</v>
      </c>
      <c r="B13" s="36" t="s">
        <v>157</v>
      </c>
      <c r="C13" s="36" t="s">
        <v>159</v>
      </c>
      <c r="D13" s="36" t="s">
        <v>155</v>
      </c>
      <c r="E13" s="72" t="s">
        <v>152</v>
      </c>
      <c r="F13" s="72" t="s">
        <v>49</v>
      </c>
      <c r="G13" s="72" t="s">
        <v>49</v>
      </c>
      <c r="H13" s="72" t="s">
        <v>152</v>
      </c>
      <c r="I13" s="72" t="s">
        <v>152</v>
      </c>
      <c r="J13" s="33" t="s">
        <v>153</v>
      </c>
      <c r="K13" s="72" t="s">
        <v>152</v>
      </c>
      <c r="L13" s="33" t="s">
        <v>153</v>
      </c>
      <c r="M13" s="72" t="s">
        <v>152</v>
      </c>
      <c r="N13" s="72" t="s">
        <v>152</v>
      </c>
      <c r="O13" s="72" t="s">
        <v>152</v>
      </c>
      <c r="P13" s="72" t="s">
        <v>152</v>
      </c>
      <c r="Q13" s="37" t="s">
        <v>160</v>
      </c>
    </row>
    <row r="14" ht="16.8" spans="1:21">
      <c r="A14" s="31" t="s">
        <v>148</v>
      </c>
      <c r="B14" s="32" t="s">
        <v>157</v>
      </c>
      <c r="C14" s="32" t="s">
        <v>159</v>
      </c>
      <c r="D14" s="32" t="s">
        <v>156</v>
      </c>
      <c r="E14" s="71" t="s">
        <v>49</v>
      </c>
      <c r="F14" s="71" t="s">
        <v>152</v>
      </c>
      <c r="G14" s="71" t="s">
        <v>152</v>
      </c>
      <c r="H14" s="71" t="s">
        <v>49</v>
      </c>
      <c r="I14" s="71" t="s">
        <v>49</v>
      </c>
      <c r="J14" s="33" t="s">
        <v>153</v>
      </c>
      <c r="K14" s="71" t="s">
        <v>49</v>
      </c>
      <c r="L14" s="33" t="s">
        <v>153</v>
      </c>
      <c r="M14" s="71" t="s">
        <v>49</v>
      </c>
      <c r="N14" s="71" t="s">
        <v>49</v>
      </c>
      <c r="O14" s="71" t="s">
        <v>49</v>
      </c>
      <c r="P14" s="71" t="s">
        <v>49</v>
      </c>
      <c r="Q14" s="34" t="s">
        <v>160</v>
      </c>
    </row>
    <row r="15" ht="16.8" spans="1:21">
      <c r="A15" s="35" t="s">
        <v>94</v>
      </c>
      <c r="B15" s="36" t="s">
        <v>149</v>
      </c>
      <c r="C15" s="36" t="s">
        <v>150</v>
      </c>
      <c r="D15" s="36" t="s">
        <v>151</v>
      </c>
      <c r="E15" s="72" t="s">
        <v>152</v>
      </c>
      <c r="F15" s="72" t="s">
        <v>49</v>
      </c>
      <c r="G15" s="33" t="s">
        <v>153</v>
      </c>
      <c r="H15" s="72" t="s">
        <v>152</v>
      </c>
      <c r="I15" s="72" t="s">
        <v>152</v>
      </c>
      <c r="J15" s="36" t="s">
        <v>161</v>
      </c>
      <c r="K15" s="72" t="s">
        <v>152</v>
      </c>
      <c r="L15" s="36" t="s">
        <v>161</v>
      </c>
      <c r="M15" s="72" t="s">
        <v>152</v>
      </c>
      <c r="N15" s="72" t="s">
        <v>152</v>
      </c>
      <c r="O15" s="72" t="s">
        <v>152</v>
      </c>
      <c r="P15" s="72" t="s">
        <v>152</v>
      </c>
      <c r="Q15" s="37" t="s">
        <v>162</v>
      </c>
    </row>
    <row r="16" ht="16.8" spans="1:21">
      <c r="A16" s="31" t="s">
        <v>94</v>
      </c>
      <c r="B16" s="32" t="s">
        <v>149</v>
      </c>
      <c r="C16" s="32" t="s">
        <v>150</v>
      </c>
      <c r="D16" s="32" t="s">
        <v>155</v>
      </c>
      <c r="E16" s="71" t="s">
        <v>152</v>
      </c>
      <c r="F16" s="71" t="s">
        <v>49</v>
      </c>
      <c r="G16" s="33" t="s">
        <v>153</v>
      </c>
      <c r="H16" s="71" t="s">
        <v>152</v>
      </c>
      <c r="I16" s="71" t="s">
        <v>152</v>
      </c>
      <c r="J16" s="32" t="s">
        <v>161</v>
      </c>
      <c r="K16" s="71" t="s">
        <v>152</v>
      </c>
      <c r="L16" s="32" t="s">
        <v>161</v>
      </c>
      <c r="M16" s="71" t="s">
        <v>152</v>
      </c>
      <c r="N16" s="71" t="s">
        <v>152</v>
      </c>
      <c r="O16" s="71" t="s">
        <v>152</v>
      </c>
      <c r="P16" s="71" t="s">
        <v>152</v>
      </c>
      <c r="Q16" s="34" t="s">
        <v>162</v>
      </c>
    </row>
    <row r="17" ht="16.8" spans="1:17">
      <c r="A17" s="35" t="s">
        <v>94</v>
      </c>
      <c r="B17" s="36" t="s">
        <v>149</v>
      </c>
      <c r="C17" s="36" t="s">
        <v>150</v>
      </c>
      <c r="D17" s="36" t="s">
        <v>156</v>
      </c>
      <c r="E17" s="72" t="s">
        <v>49</v>
      </c>
      <c r="F17" s="72" t="s">
        <v>152</v>
      </c>
      <c r="G17" s="33" t="s">
        <v>153</v>
      </c>
      <c r="H17" s="72" t="s">
        <v>49</v>
      </c>
      <c r="I17" s="72" t="s">
        <v>49</v>
      </c>
      <c r="J17" s="36" t="s">
        <v>161</v>
      </c>
      <c r="K17" s="72" t="s">
        <v>49</v>
      </c>
      <c r="L17" s="36" t="s">
        <v>161</v>
      </c>
      <c r="M17" s="72" t="s">
        <v>49</v>
      </c>
      <c r="N17" s="72" t="s">
        <v>49</v>
      </c>
      <c r="O17" s="72" t="s">
        <v>49</v>
      </c>
      <c r="P17" s="72" t="s">
        <v>49</v>
      </c>
      <c r="Q17" s="37" t="s">
        <v>162</v>
      </c>
    </row>
    <row r="18" ht="16.8" spans="1:17">
      <c r="A18" s="31" t="s">
        <v>94</v>
      </c>
      <c r="B18" s="32" t="s">
        <v>157</v>
      </c>
      <c r="C18" s="32" t="s">
        <v>26</v>
      </c>
      <c r="D18" s="32" t="s">
        <v>151</v>
      </c>
      <c r="E18" s="71" t="s">
        <v>152</v>
      </c>
      <c r="F18" s="71" t="s">
        <v>49</v>
      </c>
      <c r="G18" s="71" t="s">
        <v>152</v>
      </c>
      <c r="H18" s="71" t="s">
        <v>152</v>
      </c>
      <c r="I18" s="71" t="s">
        <v>152</v>
      </c>
      <c r="J18" s="71" t="s">
        <v>152</v>
      </c>
      <c r="K18" s="71" t="s">
        <v>152</v>
      </c>
      <c r="L18" s="71" t="s">
        <v>49</v>
      </c>
      <c r="M18" s="71" t="s">
        <v>152</v>
      </c>
      <c r="N18" s="71" t="s">
        <v>152</v>
      </c>
      <c r="O18" s="71" t="s">
        <v>152</v>
      </c>
      <c r="P18" s="71" t="s">
        <v>152</v>
      </c>
      <c r="Q18" s="34" t="s">
        <v>163</v>
      </c>
    </row>
    <row r="19" ht="16.8" spans="1:17">
      <c r="A19" s="35" t="s">
        <v>94</v>
      </c>
      <c r="B19" s="36" t="s">
        <v>157</v>
      </c>
      <c r="C19" s="36" t="s">
        <v>26</v>
      </c>
      <c r="D19" s="36" t="s">
        <v>155</v>
      </c>
      <c r="E19" s="72" t="s">
        <v>152</v>
      </c>
      <c r="F19" s="72" t="s">
        <v>49</v>
      </c>
      <c r="G19" s="72" t="s">
        <v>152</v>
      </c>
      <c r="H19" s="72" t="s">
        <v>152</v>
      </c>
      <c r="I19" s="72" t="s">
        <v>152</v>
      </c>
      <c r="J19" s="72" t="s">
        <v>152</v>
      </c>
      <c r="K19" s="72" t="s">
        <v>152</v>
      </c>
      <c r="L19" s="72" t="s">
        <v>49</v>
      </c>
      <c r="M19" s="72" t="s">
        <v>152</v>
      </c>
      <c r="N19" s="72" t="s">
        <v>152</v>
      </c>
      <c r="O19" s="72" t="s">
        <v>152</v>
      </c>
      <c r="P19" s="72" t="s">
        <v>152</v>
      </c>
      <c r="Q19" s="37" t="s">
        <v>163</v>
      </c>
    </row>
    <row r="20" ht="16.8" spans="1:17">
      <c r="A20" s="31" t="s">
        <v>94</v>
      </c>
      <c r="B20" s="32" t="s">
        <v>157</v>
      </c>
      <c r="C20" s="32" t="s">
        <v>26</v>
      </c>
      <c r="D20" s="32" t="s">
        <v>156</v>
      </c>
      <c r="E20" s="71" t="s">
        <v>49</v>
      </c>
      <c r="F20" s="71" t="s">
        <v>152</v>
      </c>
      <c r="G20" s="71" t="s">
        <v>49</v>
      </c>
      <c r="H20" s="71" t="s">
        <v>49</v>
      </c>
      <c r="I20" s="71" t="s">
        <v>49</v>
      </c>
      <c r="J20" s="71" t="s">
        <v>49</v>
      </c>
      <c r="K20" s="71" t="s">
        <v>49</v>
      </c>
      <c r="L20" s="71" t="s">
        <v>152</v>
      </c>
      <c r="M20" s="71" t="s">
        <v>49</v>
      </c>
      <c r="N20" s="71" t="s">
        <v>49</v>
      </c>
      <c r="O20" s="71" t="s">
        <v>49</v>
      </c>
      <c r="P20" s="71" t="s">
        <v>49</v>
      </c>
      <c r="Q20" s="34" t="s">
        <v>163</v>
      </c>
    </row>
    <row r="21" ht="16.8" spans="1:17">
      <c r="A21" s="35" t="s">
        <v>94</v>
      </c>
      <c r="B21" s="36" t="s">
        <v>157</v>
      </c>
      <c r="C21" s="36" t="s">
        <v>159</v>
      </c>
      <c r="D21" s="36" t="s">
        <v>151</v>
      </c>
      <c r="E21" s="72" t="s">
        <v>152</v>
      </c>
      <c r="F21" s="72" t="s">
        <v>49</v>
      </c>
      <c r="G21" s="72" t="s">
        <v>49</v>
      </c>
      <c r="H21" s="72" t="s">
        <v>152</v>
      </c>
      <c r="I21" s="72" t="s">
        <v>152</v>
      </c>
      <c r="J21" s="72" t="s">
        <v>152</v>
      </c>
      <c r="K21" s="72" t="s">
        <v>152</v>
      </c>
      <c r="L21" s="72" t="s">
        <v>152</v>
      </c>
      <c r="M21" s="72" t="s">
        <v>152</v>
      </c>
      <c r="N21" s="72" t="s">
        <v>152</v>
      </c>
      <c r="O21" s="72" t="s">
        <v>152</v>
      </c>
      <c r="P21" s="72" t="s">
        <v>152</v>
      </c>
      <c r="Q21" s="37" t="s">
        <v>164</v>
      </c>
    </row>
    <row r="22" ht="16.8" spans="1:17">
      <c r="A22" s="31" t="s">
        <v>94</v>
      </c>
      <c r="B22" s="32" t="s">
        <v>157</v>
      </c>
      <c r="C22" s="32" t="s">
        <v>159</v>
      </c>
      <c r="D22" s="32" t="s">
        <v>155</v>
      </c>
      <c r="E22" s="71" t="s">
        <v>152</v>
      </c>
      <c r="F22" s="71" t="s">
        <v>49</v>
      </c>
      <c r="G22" s="71" t="s">
        <v>49</v>
      </c>
      <c r="H22" s="71" t="s">
        <v>152</v>
      </c>
      <c r="I22" s="71" t="s">
        <v>152</v>
      </c>
      <c r="J22" s="71" t="s">
        <v>152</v>
      </c>
      <c r="K22" s="71" t="s">
        <v>152</v>
      </c>
      <c r="L22" s="71" t="s">
        <v>152</v>
      </c>
      <c r="M22" s="71" t="s">
        <v>152</v>
      </c>
      <c r="N22" s="71" t="s">
        <v>152</v>
      </c>
      <c r="O22" s="71" t="s">
        <v>152</v>
      </c>
      <c r="P22" s="71" t="s">
        <v>152</v>
      </c>
      <c r="Q22" s="34" t="s">
        <v>164</v>
      </c>
    </row>
    <row r="23" ht="16.8" spans="1:17">
      <c r="A23" s="35" t="s">
        <v>94</v>
      </c>
      <c r="B23" s="36" t="s">
        <v>157</v>
      </c>
      <c r="C23" s="36" t="s">
        <v>159</v>
      </c>
      <c r="D23" s="36" t="s">
        <v>156</v>
      </c>
      <c r="E23" s="72" t="s">
        <v>49</v>
      </c>
      <c r="F23" s="72" t="s">
        <v>152</v>
      </c>
      <c r="G23" s="72" t="s">
        <v>152</v>
      </c>
      <c r="H23" s="72" t="s">
        <v>49</v>
      </c>
      <c r="I23" s="72" t="s">
        <v>49</v>
      </c>
      <c r="J23" s="72" t="s">
        <v>49</v>
      </c>
      <c r="K23" s="72" t="s">
        <v>49</v>
      </c>
      <c r="L23" s="72" t="s">
        <v>49</v>
      </c>
      <c r="M23" s="72" t="s">
        <v>49</v>
      </c>
      <c r="N23" s="72" t="s">
        <v>49</v>
      </c>
      <c r="O23" s="72" t="s">
        <v>49</v>
      </c>
      <c r="P23" s="72" t="s">
        <v>49</v>
      </c>
      <c r="Q23" s="37" t="s">
        <v>164</v>
      </c>
    </row>
    <row r="26" ht="66" customHeight="1" spans="1:17">
      <c r="A26" s="38" t="s">
        <v>165</v>
      </c>
      <c r="B26" s="39" t="s">
        <v>144</v>
      </c>
      <c r="C26" s="40" t="s">
        <v>166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ht="16.8" spans="1:17">
      <c r="A27" s="31" t="s">
        <v>167</v>
      </c>
      <c r="B27" s="32" t="s">
        <v>151</v>
      </c>
      <c r="C27" s="71" t="s">
        <v>168</v>
      </c>
      <c r="D27" s="42"/>
      <c r="E27" s="42"/>
      <c r="F27" s="43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</row>
    <row r="28" ht="16.8" spans="1:17">
      <c r="A28" s="35" t="s">
        <v>167</v>
      </c>
      <c r="B28" s="36" t="s">
        <v>155</v>
      </c>
      <c r="C28" s="72" t="s">
        <v>168</v>
      </c>
      <c r="D28" s="42"/>
      <c r="E28" s="42"/>
      <c r="F28" s="43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</row>
    <row r="29" ht="16.8" spans="1:17">
      <c r="A29" s="31" t="s">
        <v>167</v>
      </c>
      <c r="B29" s="32" t="s">
        <v>156</v>
      </c>
      <c r="C29" s="71" t="s">
        <v>169</v>
      </c>
      <c r="D29" s="42"/>
      <c r="E29" s="42"/>
      <c r="F29" s="43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</row>
    <row r="30" ht="16.8" spans="1:17">
      <c r="A30" s="35" t="s">
        <v>170</v>
      </c>
      <c r="B30" s="36" t="s">
        <v>151</v>
      </c>
      <c r="C30" s="72" t="s">
        <v>171</v>
      </c>
      <c r="D30" s="42"/>
      <c r="E30" s="42"/>
      <c r="F30" s="42"/>
      <c r="G30" s="42"/>
      <c r="H30" s="43"/>
      <c r="I30" s="26"/>
      <c r="J30" s="26"/>
      <c r="K30" s="26"/>
      <c r="L30" s="26"/>
      <c r="M30" s="26"/>
      <c r="N30" s="26"/>
      <c r="O30" s="26"/>
      <c r="P30" s="26"/>
      <c r="Q30" s="26"/>
    </row>
    <row r="31" ht="16.8" spans="1:17">
      <c r="A31" s="31" t="s">
        <v>170</v>
      </c>
      <c r="B31" s="32" t="s">
        <v>155</v>
      </c>
      <c r="C31" s="71" t="s">
        <v>171</v>
      </c>
      <c r="D31" s="42"/>
      <c r="E31" s="42"/>
      <c r="F31" s="42"/>
      <c r="G31" s="42"/>
      <c r="H31" s="43"/>
      <c r="I31" s="26"/>
      <c r="J31" s="26"/>
      <c r="K31" s="26"/>
      <c r="L31" s="26"/>
      <c r="M31" s="26"/>
      <c r="N31" s="26"/>
      <c r="O31" s="26"/>
      <c r="P31" s="26"/>
      <c r="Q31" s="26"/>
    </row>
    <row r="32" ht="16.8" spans="1:17">
      <c r="A32" s="35" t="s">
        <v>170</v>
      </c>
      <c r="B32" s="36" t="s">
        <v>156</v>
      </c>
      <c r="C32" s="72" t="s">
        <v>172</v>
      </c>
      <c r="D32" s="42"/>
      <c r="E32" s="42"/>
      <c r="F32" s="42"/>
      <c r="G32" s="42"/>
      <c r="H32" s="43"/>
      <c r="I32" s="26"/>
      <c r="J32" s="26"/>
      <c r="K32" s="26"/>
      <c r="L32" s="26"/>
      <c r="M32" s="26"/>
      <c r="N32" s="26"/>
      <c r="O32" s="26"/>
      <c r="P32" s="26"/>
      <c r="Q32" s="26"/>
    </row>
    <row r="33" ht="16.8" spans="1:17">
      <c r="A33" s="31" t="s">
        <v>173</v>
      </c>
      <c r="B33" s="32" t="s">
        <v>151</v>
      </c>
      <c r="C33" s="71" t="s">
        <v>174</v>
      </c>
      <c r="D33" s="42"/>
      <c r="E33" s="42"/>
      <c r="F33" s="42"/>
      <c r="G33" s="42"/>
      <c r="H33" s="43"/>
      <c r="I33" s="26"/>
      <c r="J33" s="26"/>
      <c r="K33" s="26"/>
      <c r="L33" s="26"/>
      <c r="M33" s="26"/>
      <c r="N33" s="26"/>
      <c r="O33" s="26"/>
      <c r="P33" s="26"/>
      <c r="Q33" s="26"/>
    </row>
    <row r="34" ht="16.8" spans="1:17">
      <c r="A34" s="35" t="s">
        <v>173</v>
      </c>
      <c r="B34" s="36" t="s">
        <v>155</v>
      </c>
      <c r="C34" s="72" t="s">
        <v>174</v>
      </c>
      <c r="D34" s="42"/>
      <c r="E34" s="42"/>
      <c r="F34" s="42"/>
      <c r="G34" s="42"/>
      <c r="H34" s="43"/>
      <c r="I34" s="26"/>
      <c r="J34" s="26"/>
      <c r="K34" s="26"/>
      <c r="L34" s="26"/>
      <c r="M34" s="26"/>
      <c r="N34" s="26"/>
      <c r="O34" s="26"/>
      <c r="P34" s="26"/>
      <c r="Q34" s="26"/>
    </row>
    <row r="35" ht="16.8" spans="1:17">
      <c r="A35" s="31" t="s">
        <v>173</v>
      </c>
      <c r="B35" s="32" t="s">
        <v>156</v>
      </c>
      <c r="C35" s="71" t="s">
        <v>175</v>
      </c>
      <c r="D35" s="42"/>
      <c r="E35" s="42"/>
      <c r="F35" s="42"/>
      <c r="G35" s="42"/>
      <c r="H35" s="43"/>
      <c r="I35" s="26"/>
      <c r="J35" s="26"/>
      <c r="K35" s="26"/>
      <c r="L35" s="26"/>
      <c r="M35" s="26"/>
      <c r="N35" s="26"/>
      <c r="O35" s="26"/>
      <c r="P35" s="26"/>
      <c r="Q35" s="26"/>
    </row>
    <row r="36" ht="16.8" spans="1:17">
      <c r="A36" s="35" t="s">
        <v>176</v>
      </c>
      <c r="B36" s="36" t="s">
        <v>151</v>
      </c>
      <c r="C36" s="72" t="s">
        <v>177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3"/>
      <c r="O36" s="26"/>
      <c r="P36" s="26"/>
      <c r="Q36" s="26"/>
    </row>
    <row r="37" ht="16.8" spans="1:17">
      <c r="A37" s="31" t="s">
        <v>176</v>
      </c>
      <c r="B37" s="32" t="s">
        <v>155</v>
      </c>
      <c r="C37" s="71" t="s">
        <v>177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3"/>
      <c r="O37" s="26"/>
      <c r="P37" s="26"/>
      <c r="Q37" s="26"/>
    </row>
    <row r="38" ht="16.8" spans="1:17">
      <c r="A38" s="35" t="s">
        <v>176</v>
      </c>
      <c r="B38" s="36" t="s">
        <v>156</v>
      </c>
      <c r="C38" s="72" t="s">
        <v>178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3"/>
      <c r="O38" s="26"/>
      <c r="P38" s="26"/>
      <c r="Q38" s="26"/>
    </row>
    <row r="39" ht="16.8" spans="1:17">
      <c r="A39" s="31" t="s">
        <v>179</v>
      </c>
      <c r="B39" s="32" t="s">
        <v>151</v>
      </c>
      <c r="C39" s="71" t="s">
        <v>180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3"/>
      <c r="O39" s="26"/>
      <c r="P39" s="26"/>
      <c r="Q39" s="26"/>
    </row>
    <row r="40" ht="16.8" spans="1:17">
      <c r="A40" s="35" t="s">
        <v>179</v>
      </c>
      <c r="B40" s="36" t="s">
        <v>155</v>
      </c>
      <c r="C40" s="72" t="s">
        <v>180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3"/>
      <c r="O40" s="26"/>
      <c r="P40" s="26"/>
      <c r="Q40" s="26"/>
    </row>
    <row r="41" ht="16.8" spans="1:17">
      <c r="A41" s="31" t="s">
        <v>179</v>
      </c>
      <c r="B41" s="32" t="s">
        <v>156</v>
      </c>
      <c r="C41" s="71" t="s">
        <v>181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3"/>
      <c r="O41" s="26"/>
      <c r="P41" s="26"/>
      <c r="Q41" s="26"/>
    </row>
  </sheetData>
  <mergeCells count="16">
    <mergeCell ref="A2:Q2"/>
    <mergeCell ref="C27:F27"/>
    <mergeCell ref="C28:F28"/>
    <mergeCell ref="C29:F29"/>
    <mergeCell ref="C30:H30"/>
    <mergeCell ref="C31:H31"/>
    <mergeCell ref="C32:H32"/>
    <mergeCell ref="C33:H33"/>
    <mergeCell ref="C34:H34"/>
    <mergeCell ref="C35:H35"/>
    <mergeCell ref="C36:N36"/>
    <mergeCell ref="C37:N37"/>
    <mergeCell ref="C38:N38"/>
    <mergeCell ref="C39:N39"/>
    <mergeCell ref="C40:N40"/>
    <mergeCell ref="C41:N4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5"/>
  <sheetViews>
    <sheetView workbookViewId="0">
      <selection activeCell="A1" sqref="A1"/>
    </sheetView>
  </sheetViews>
  <sheetFormatPr defaultColWidth="14.4296875" defaultRowHeight="15" customHeight="1" outlineLevelCol="5"/>
  <cols>
    <col min="2" max="2" width="23.4296875" customWidth="1"/>
  </cols>
  <sheetData>
    <row r="1" customHeight="1" spans="1:6">
      <c r="B1" s="6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customHeight="1" spans="1:6">
      <c r="B2" t="s">
        <v>182</v>
      </c>
      <c r="D2" t="s">
        <v>183</v>
      </c>
      <c r="E2" s="20">
        <f>E4/E14</f>
        <v>257.142857142857</v>
      </c>
      <c r="F2" t="s">
        <v>184</v>
      </c>
    </row>
    <row r="4" customHeight="1" spans="1:6">
      <c r="A4">
        <v>1</v>
      </c>
      <c r="B4" t="s">
        <v>185</v>
      </c>
      <c r="D4" t="s">
        <v>186</v>
      </c>
      <c r="E4" s="21">
        <f>(E5/1000)*60</f>
        <v>1.28571428571429</v>
      </c>
    </row>
    <row r="5" customHeight="1" spans="1:6">
      <c r="D5" t="s">
        <v>187</v>
      </c>
      <c r="E5" s="22">
        <f>E6*E14*1000</f>
        <v>21.4285714285714</v>
      </c>
    </row>
    <row r="6" customHeight="1" spans="1:6">
      <c r="D6" t="s">
        <v>188</v>
      </c>
      <c r="E6" s="22">
        <f>E15/(E9-(0.5*(E10+E11)))</f>
        <v>4.28571428571429</v>
      </c>
      <c r="F6" t="s">
        <v>189</v>
      </c>
    </row>
    <row r="7" customHeight="1" spans="1:6">
      <c r="B7" t="s">
        <v>190</v>
      </c>
      <c r="C7" t="s">
        <v>191</v>
      </c>
      <c r="D7" t="s">
        <v>113</v>
      </c>
      <c r="E7" s="16">
        <v>15</v>
      </c>
    </row>
    <row r="8" customHeight="1" spans="1:6">
      <c r="D8" t="s">
        <v>29</v>
      </c>
      <c r="E8" s="19">
        <f>E7/1000</f>
        <v>0.015</v>
      </c>
    </row>
    <row r="9" customHeight="1" spans="1:6">
      <c r="B9" t="s">
        <v>192</v>
      </c>
      <c r="C9" t="s">
        <v>193</v>
      </c>
      <c r="D9" t="s">
        <v>194</v>
      </c>
      <c r="E9" s="16">
        <v>0.9</v>
      </c>
      <c r="F9" t="s">
        <v>195</v>
      </c>
    </row>
    <row r="10" customHeight="1" spans="1:6">
      <c r="B10" t="s">
        <v>196</v>
      </c>
      <c r="C10" t="s">
        <v>197</v>
      </c>
      <c r="D10" t="s">
        <v>194</v>
      </c>
      <c r="E10" s="16">
        <v>0.2</v>
      </c>
    </row>
    <row r="11" customHeight="1" spans="1:6">
      <c r="B11" t="s">
        <v>198</v>
      </c>
      <c r="C11" t="s">
        <v>199</v>
      </c>
      <c r="D11" t="s">
        <v>194</v>
      </c>
      <c r="E11" s="16">
        <v>0.2</v>
      </c>
    </row>
    <row r="12" customHeight="1" spans="1:6">
      <c r="B12" t="s">
        <v>200</v>
      </c>
      <c r="C12" t="s">
        <v>201</v>
      </c>
      <c r="D12" t="s">
        <v>194</v>
      </c>
      <c r="E12" s="13">
        <f>E9-E10-E11</f>
        <v>0.5</v>
      </c>
    </row>
    <row r="14" customHeight="1" spans="1:6">
      <c r="B14" t="s">
        <v>202</v>
      </c>
      <c r="C14" t="s">
        <v>112</v>
      </c>
      <c r="D14" t="s">
        <v>29</v>
      </c>
      <c r="E14" s="13">
        <f>'Load Torque'!E86</f>
        <v>0.005</v>
      </c>
    </row>
    <row r="15" customHeight="1" spans="1:6">
      <c r="B15" t="s">
        <v>203</v>
      </c>
      <c r="C15" t="s">
        <v>204</v>
      </c>
      <c r="D15" t="s">
        <v>205</v>
      </c>
      <c r="E15" s="13">
        <f>E8/E14</f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A43"/>
  <sheetViews>
    <sheetView topLeftCell="A10" workbookViewId="0">
      <selection activeCell="A1" sqref="A1"/>
    </sheetView>
  </sheetViews>
  <sheetFormatPr defaultColWidth="14.4296875" defaultRowHeight="15" customHeight="1"/>
  <cols>
    <col min="1" max="1" width="15.859375" customWidth="1"/>
    <col min="2" max="2" width="33.4296875" customWidth="1"/>
    <col min="5" max="5" width="16.4296875" customWidth="1"/>
  </cols>
  <sheetData>
    <row r="1" customHeight="1" spans="1:27">
      <c r="B1" s="6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customHeight="1" spans="1:27">
      <c r="A2" s="8"/>
      <c r="B2" s="8" t="s">
        <v>206</v>
      </c>
      <c r="C2" s="9"/>
      <c r="D2" s="9"/>
      <c r="E2" s="10"/>
      <c r="F2" s="8" t="s">
        <v>207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4" customHeight="1" spans="1:27">
      <c r="B4" t="s">
        <v>208</v>
      </c>
      <c r="C4" t="s">
        <v>209</v>
      </c>
      <c r="D4" t="s">
        <v>12</v>
      </c>
      <c r="E4" s="11">
        <f>E6*(E19/(9.55*E21))</f>
        <v>0.000685313264845965</v>
      </c>
    </row>
    <row r="6" customHeight="1" spans="1:27">
      <c r="A6">
        <v>1</v>
      </c>
      <c r="B6" t="s">
        <v>210</v>
      </c>
      <c r="C6" t="s">
        <v>211</v>
      </c>
      <c r="D6" t="s">
        <v>212</v>
      </c>
      <c r="E6" s="12">
        <f>E8+E13</f>
        <v>5.0903546394392e-6</v>
      </c>
      <c r="F6" t="s">
        <v>213</v>
      </c>
    </row>
    <row r="8" customHeight="1" spans="1:27">
      <c r="A8">
        <v>1.1</v>
      </c>
      <c r="B8" t="s">
        <v>214</v>
      </c>
      <c r="C8" t="s">
        <v>215</v>
      </c>
      <c r="D8" t="s">
        <v>212</v>
      </c>
      <c r="E8" s="12">
        <f>E10*((E11/(2*PI()))^2)</f>
        <v>3.76914803149497e-6</v>
      </c>
      <c r="F8" t="s">
        <v>216</v>
      </c>
    </row>
    <row r="10" customHeight="1" spans="1:27">
      <c r="A10" t="s">
        <v>217</v>
      </c>
      <c r="B10" t="s">
        <v>218</v>
      </c>
      <c r="D10" t="s">
        <v>30</v>
      </c>
      <c r="E10" s="13">
        <f>'Load Torque'!E32</f>
        <v>5.952</v>
      </c>
      <c r="F10" s="14" t="s">
        <v>31</v>
      </c>
    </row>
    <row r="11" customHeight="1" spans="1:27">
      <c r="A11" t="s">
        <v>219</v>
      </c>
      <c r="B11" t="s">
        <v>220</v>
      </c>
      <c r="C11" t="s">
        <v>112</v>
      </c>
      <c r="D11" t="s">
        <v>29</v>
      </c>
      <c r="E11" s="13">
        <f>'Load Torque'!E78</f>
        <v>0.005</v>
      </c>
    </row>
    <row r="13" customHeight="1" spans="1:27">
      <c r="A13">
        <v>1.2</v>
      </c>
      <c r="B13" t="s">
        <v>221</v>
      </c>
      <c r="C13" t="s">
        <v>222</v>
      </c>
      <c r="D13" t="s">
        <v>212</v>
      </c>
      <c r="E13" s="12">
        <f>(PI()/32)*E17*E14*(E15^4)</f>
        <v>1.32120660794423e-6</v>
      </c>
      <c r="F13" t="s">
        <v>223</v>
      </c>
    </row>
    <row r="14" customHeight="1" spans="1:27">
      <c r="B14" t="s">
        <v>224</v>
      </c>
      <c r="C14" t="s">
        <v>225</v>
      </c>
      <c r="D14" t="s">
        <v>29</v>
      </c>
      <c r="E14" s="15">
        <f>171/1000</f>
        <v>0.171</v>
      </c>
    </row>
    <row r="15" customHeight="1" spans="1:27">
      <c r="B15" t="s">
        <v>226</v>
      </c>
      <c r="C15" t="s">
        <v>227</v>
      </c>
      <c r="D15" t="s">
        <v>29</v>
      </c>
      <c r="E15" s="15">
        <f>10/1000</f>
        <v>0.01</v>
      </c>
    </row>
    <row r="16" customHeight="1" spans="1:27">
      <c r="B16" t="s">
        <v>228</v>
      </c>
      <c r="E16" s="16" t="s">
        <v>229</v>
      </c>
      <c r="G16" t="s">
        <v>230</v>
      </c>
      <c r="H16">
        <v>7870</v>
      </c>
    </row>
    <row r="17" customHeight="1" spans="1:27">
      <c r="B17" t="s">
        <v>231</v>
      </c>
      <c r="D17" t="s">
        <v>232</v>
      </c>
      <c r="E17" s="13">
        <f>IF(E16="Mildsteel",H16,IF(E16="Stainless steel",H17,IF(E16="Aluminium",H18,0)))</f>
        <v>7870</v>
      </c>
      <c r="G17" t="s">
        <v>233</v>
      </c>
      <c r="H17">
        <v>7930</v>
      </c>
    </row>
    <row r="18" customHeight="1" spans="1:27">
      <c r="G18" t="s">
        <v>234</v>
      </c>
      <c r="H18">
        <v>2700</v>
      </c>
    </row>
    <row r="19" customHeight="1" spans="1:27">
      <c r="A19">
        <v>2</v>
      </c>
      <c r="B19" t="s">
        <v>235</v>
      </c>
      <c r="D19" t="s">
        <v>183</v>
      </c>
      <c r="E19" s="17">
        <f>'Speed calc'!E2</f>
        <v>257.142857142857</v>
      </c>
    </row>
    <row r="21" customHeight="1" spans="1:27">
      <c r="A21">
        <v>3</v>
      </c>
      <c r="B21" t="s">
        <v>236</v>
      </c>
      <c r="D21" t="s">
        <v>194</v>
      </c>
      <c r="E21" s="13">
        <f>'Speed calc'!E10</f>
        <v>0.2</v>
      </c>
    </row>
    <row r="24" customHeight="1" spans="1:27">
      <c r="A24" s="8"/>
      <c r="B24" s="8" t="s">
        <v>237</v>
      </c>
      <c r="C24" s="9"/>
      <c r="D24" s="9"/>
      <c r="E24" s="10"/>
      <c r="F24" s="8" t="s">
        <v>238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6" customHeight="1" spans="1:27">
      <c r="B26" t="s">
        <v>239</v>
      </c>
      <c r="C26" t="s">
        <v>209</v>
      </c>
      <c r="D26" t="s">
        <v>12</v>
      </c>
      <c r="E26" s="11">
        <f>E28*(E41/(9.55*E43))</f>
        <v>0.000685313264845965</v>
      </c>
    </row>
    <row r="28" customHeight="1" spans="1:27">
      <c r="A28">
        <v>1</v>
      </c>
      <c r="B28" t="s">
        <v>210</v>
      </c>
      <c r="C28" t="s">
        <v>211</v>
      </c>
      <c r="D28" t="s">
        <v>212</v>
      </c>
      <c r="E28" s="12">
        <f>E30+E35</f>
        <v>5.0903546394392e-6</v>
      </c>
      <c r="F28" t="s">
        <v>213</v>
      </c>
    </row>
    <row r="30" customHeight="1" spans="1:27">
      <c r="A30">
        <v>1.1</v>
      </c>
      <c r="B30" t="s">
        <v>214</v>
      </c>
      <c r="C30" t="s">
        <v>215</v>
      </c>
      <c r="D30" t="s">
        <v>212</v>
      </c>
      <c r="E30" s="12">
        <f>E32*((E33/(2*PI()))^2)</f>
        <v>3.76914803149497e-6</v>
      </c>
      <c r="F30" t="s">
        <v>216</v>
      </c>
    </row>
    <row r="32" customHeight="1" spans="1:27">
      <c r="A32" t="s">
        <v>217</v>
      </c>
      <c r="B32" t="s">
        <v>218</v>
      </c>
      <c r="D32" t="s">
        <v>30</v>
      </c>
      <c r="E32" s="13">
        <f>'Load Torque'!E32</f>
        <v>5.952</v>
      </c>
      <c r="F32" s="14" t="s">
        <v>31</v>
      </c>
    </row>
    <row r="33" customHeight="1" spans="1:8">
      <c r="A33" t="s">
        <v>219</v>
      </c>
      <c r="B33" t="s">
        <v>220</v>
      </c>
      <c r="C33" t="s">
        <v>112</v>
      </c>
      <c r="D33" t="s">
        <v>29</v>
      </c>
      <c r="E33" s="13">
        <f>'Load Torque'!E78</f>
        <v>0.005</v>
      </c>
    </row>
    <row r="35" customHeight="1" spans="1:8">
      <c r="A35">
        <v>1.2</v>
      </c>
      <c r="B35" t="s">
        <v>221</v>
      </c>
      <c r="C35" t="s">
        <v>222</v>
      </c>
      <c r="D35" t="s">
        <v>212</v>
      </c>
      <c r="E35" s="12">
        <f>(PI()/32)*E39*E36*(E37^4)</f>
        <v>1.32120660794423e-6</v>
      </c>
      <c r="F35" t="s">
        <v>223</v>
      </c>
    </row>
    <row r="36" customHeight="1" spans="1:8">
      <c r="B36" t="s">
        <v>224</v>
      </c>
      <c r="C36" t="s">
        <v>225</v>
      </c>
      <c r="D36" t="s">
        <v>29</v>
      </c>
      <c r="E36" s="18">
        <f t="shared" ref="E36:E38" si="0">E14</f>
        <v>0.171</v>
      </c>
    </row>
    <row r="37" customHeight="1" spans="1:8">
      <c r="B37" t="s">
        <v>226</v>
      </c>
      <c r="C37" t="s">
        <v>227</v>
      </c>
      <c r="D37" t="s">
        <v>29</v>
      </c>
      <c r="E37" s="18">
        <f t="shared" si="0"/>
        <v>0.01</v>
      </c>
    </row>
    <row r="38" customHeight="1" spans="1:8">
      <c r="B38" t="s">
        <v>228</v>
      </c>
      <c r="E38" s="19" t="str">
        <f t="shared" si="0"/>
        <v>Mildsteel</v>
      </c>
      <c r="G38" t="s">
        <v>230</v>
      </c>
      <c r="H38">
        <v>7870</v>
      </c>
    </row>
    <row r="39" customHeight="1" spans="1:8">
      <c r="B39" t="s">
        <v>231</v>
      </c>
      <c r="D39" t="s">
        <v>232</v>
      </c>
      <c r="E39" s="13">
        <f>IF(E38="Mildsteel",H38,IF(E38="Stainless steel",H39,IF(E38="Aluminium",H40,0)))</f>
        <v>7870</v>
      </c>
      <c r="G39" t="s">
        <v>233</v>
      </c>
      <c r="H39">
        <v>7930</v>
      </c>
    </row>
    <row r="40" customHeight="1" spans="1:8">
      <c r="G40" t="s">
        <v>234</v>
      </c>
      <c r="H40">
        <v>2700</v>
      </c>
    </row>
    <row r="41" customHeight="1" spans="1:8">
      <c r="A41">
        <v>2</v>
      </c>
      <c r="B41" t="s">
        <v>235</v>
      </c>
      <c r="D41" t="s">
        <v>183</v>
      </c>
      <c r="E41" s="17">
        <f>'Speed calc'!E2</f>
        <v>257.142857142857</v>
      </c>
    </row>
    <row r="43" customHeight="1" spans="1:8">
      <c r="A43">
        <v>3</v>
      </c>
      <c r="B43" t="s">
        <v>236</v>
      </c>
      <c r="D43" t="s">
        <v>194</v>
      </c>
      <c r="E43" s="13">
        <f>'Speed calc'!E11</f>
        <v>0.2</v>
      </c>
    </row>
  </sheetData>
  <dataValidations count="1">
    <dataValidation type="list" allowBlank="1" showErrorMessage="1" sqref="E16 E38">
      <formula1>"Mildsteel,Stainless steel,Aluminium"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2"/>
  <sheetViews>
    <sheetView tabSelected="1" workbookViewId="0">
      <selection activeCell="P6" sqref="P6"/>
    </sheetView>
  </sheetViews>
  <sheetFormatPr defaultColWidth="9" defaultRowHeight="16.8"/>
  <sheetData>
    <row r="1" ht="34.75" spans="1:27">
      <c r="A1" s="1"/>
      <c r="B1" s="2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85.75" spans="1:27">
      <c r="A2" s="1"/>
      <c r="B2" s="1" t="s">
        <v>240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7.55" spans="1:2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68.75" spans="1:27">
      <c r="A4" s="4">
        <v>1</v>
      </c>
      <c r="B4" s="1" t="s">
        <v>241</v>
      </c>
      <c r="C4" s="1"/>
      <c r="D4" s="1" t="s">
        <v>12</v>
      </c>
      <c r="E4" s="5">
        <v>0.06571</v>
      </c>
      <c r="F4" s="1" t="e" cm="1">
        <f t="array" ref="F4">Load Torque+acceleration Torque</f>
        <v>#NAME?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4.75" spans="1:27">
      <c r="A5" s="4">
        <v>1.1</v>
      </c>
      <c r="B5" s="1" t="s">
        <v>0</v>
      </c>
      <c r="C5" s="1" t="s">
        <v>11</v>
      </c>
      <c r="D5" s="1" t="s">
        <v>12</v>
      </c>
      <c r="E5" s="4">
        <v>0.07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4.75" spans="1:27">
      <c r="A6" s="4">
        <v>1.2</v>
      </c>
      <c r="B6" s="1" t="s">
        <v>242</v>
      </c>
      <c r="C6" s="1" t="s">
        <v>209</v>
      </c>
      <c r="D6" s="1" t="s">
        <v>12</v>
      </c>
      <c r="E6" s="4">
        <v>0.00069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7.55" spans="1:2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7.55" spans="1:2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51.75" spans="1:27">
      <c r="A9" s="4">
        <v>2</v>
      </c>
      <c r="B9" s="1" t="s">
        <v>243</v>
      </c>
      <c r="C9" s="1"/>
      <c r="D9" s="1" t="s">
        <v>12</v>
      </c>
      <c r="E9" s="4">
        <v>0.06502</v>
      </c>
      <c r="F9" s="1" t="e" cm="1">
        <f t="array" ref="F9">Load Torque</f>
        <v>#NAME?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7.55" spans="1:27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7.55" spans="1:2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68.75" spans="1:27">
      <c r="A12" s="4">
        <v>3</v>
      </c>
      <c r="B12" s="1" t="s">
        <v>244</v>
      </c>
      <c r="C12" s="1"/>
      <c r="D12" s="1" t="s">
        <v>12</v>
      </c>
      <c r="E12" s="4">
        <v>0.06433</v>
      </c>
      <c r="F12" s="1" t="e" cm="1">
        <f t="array" ref="F12">absoute(Decceleration Torque-Load Torque)</f>
        <v>#NAME?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51.75" spans="1:27">
      <c r="A13" s="4">
        <v>3.1</v>
      </c>
      <c r="B13" s="1" t="s">
        <v>245</v>
      </c>
      <c r="C13" s="1" t="s">
        <v>246</v>
      </c>
      <c r="D13" s="1" t="s">
        <v>12</v>
      </c>
      <c r="E13" s="4">
        <v>0.00069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7.55" spans="1:2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51.75" spans="1:27">
      <c r="A15" s="4">
        <v>4</v>
      </c>
      <c r="B15" s="1" t="s">
        <v>247</v>
      </c>
      <c r="C15" s="1" t="s">
        <v>248</v>
      </c>
      <c r="D15" s="1" t="s">
        <v>12</v>
      </c>
      <c r="E15" s="1"/>
      <c r="F15" s="1" t="e" cm="1">
        <f t="array" ref="F15">Holding Torque</f>
        <v>#NAME?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7.55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7.55" spans="1:2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85.75" spans="1:27">
      <c r="A18" s="1"/>
      <c r="B18" s="1" t="s">
        <v>249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7.55" spans="1:2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51.75" spans="1:27">
      <c r="A20" s="4">
        <v>1</v>
      </c>
      <c r="B20" s="1" t="s">
        <v>250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68.75" spans="1:27">
      <c r="A21" s="4">
        <v>1.1</v>
      </c>
      <c r="B21" s="1" t="s">
        <v>241</v>
      </c>
      <c r="C21" s="1"/>
      <c r="D21" s="1"/>
      <c r="E21" s="1"/>
      <c r="F21" s="1" t="e" cm="1">
        <f t="array" ref="F21">Load Torque+acceleration Torque</f>
        <v>#NAME?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51.75" spans="1:27">
      <c r="A22" s="4">
        <v>1.2</v>
      </c>
      <c r="B22" s="1" t="s">
        <v>243</v>
      </c>
      <c r="C22" s="1"/>
      <c r="D22" s="1"/>
      <c r="E22" s="1"/>
      <c r="F22" s="1" t="e" cm="1">
        <f t="array" ref="F22">Load Torque</f>
        <v>#NAME?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68.75" spans="1:27">
      <c r="A23" s="4">
        <v>1.3</v>
      </c>
      <c r="B23" s="1" t="s">
        <v>244</v>
      </c>
      <c r="C23" s="1"/>
      <c r="D23" s="1"/>
      <c r="E23" s="1"/>
      <c r="F23" s="1" t="e" cm="1">
        <f t="array" ref="F23">absolute(Decceleration Torque-Load Torque)</f>
        <v>#NAME?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51.75" spans="1:27">
      <c r="A24" s="4">
        <v>1.4</v>
      </c>
      <c r="B24" s="1" t="s">
        <v>247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7.55" spans="1:2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7.55" spans="1:2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7.55" spans="1: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7.55" spans="1:2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7.55" spans="1:27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7.55" spans="1:2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7.55" spans="1:27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7.55" spans="1:2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7.55" spans="1:2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7.55" spans="1:2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7.55" spans="1:27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7.55" spans="1:27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7.55" spans="1:2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7.55" spans="1:27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7.55" spans="1:2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7.55" spans="1:27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7.55" spans="1:2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7.55" spans="1:27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7.55" spans="1:27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7.55" spans="1:2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7.55" spans="1:27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7.55" spans="1:27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7.55" spans="1:2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7.55" spans="1:2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7.55" spans="1:2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7.55" spans="1:2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7.55" spans="1:2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7.55" spans="1:2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7.55" spans="1:2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7.55" spans="1:2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7.55" spans="1:2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7.55" spans="1:2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7.55" spans="1:2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7.55" spans="1:2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7.55" spans="1:2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7.55" spans="1:2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7.55" spans="1:2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7.55" spans="1:2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7.55" spans="1:2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7.55" spans="1:2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7.55" spans="1:2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7.55" spans="1:2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7.55" spans="1:2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7.55" spans="1:2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7.55" spans="1:2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7.55" spans="1:2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7.55" spans="1:2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7.55" spans="1:2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7.55" spans="1:2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7.55" spans="1:2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7.55" spans="1:2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7.55" spans="1:2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7.55" spans="1:2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7.55" spans="1:2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7.55" spans="1:2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7.55" spans="1:2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7.55" spans="1:2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7.55" spans="1:2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7.55" spans="1:2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7.55" spans="1:2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7.55" spans="1:2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7.55" spans="1:2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7.55" spans="1:2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7.55" spans="1:2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7.55" spans="1:2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7.55" spans="1:2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7.55" spans="1:2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7.55" spans="1:2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7.55" spans="1:2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7.55" spans="1:2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7.55" spans="1:2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7.55" spans="1:2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7.55" spans="1:2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7.55" spans="1:2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7.55" spans="1:2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7.55" spans="1:2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7.55" spans="1:2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7.55" spans="1:2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7.55" spans="1:2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7.55" spans="1:2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7.55" spans="1:2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7.55" spans="1:2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7.55" spans="1:2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7.55" spans="1:2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7.55" spans="1:2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7.55" spans="1:2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7.55" spans="1:2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7.55" spans="1:2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7.55" spans="1:27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7.55" spans="1:27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7.55" spans="1:27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7.55" spans="1:27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7.55" spans="1:2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7.55" spans="1:27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7.55" spans="1:27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7.55" spans="1:27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7.55" spans="1:27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7.55" spans="1:27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7.55" spans="1:27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7.55" spans="1:27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7.55" spans="1:27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7.55" spans="1:27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7.55" spans="1: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7.55" spans="1:27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7.55" spans="1:27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7.55" spans="1:27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7.55" spans="1:27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7.55" spans="1:27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7.55" spans="1:27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7.55" spans="1:27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7.55" spans="1:27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7.55" spans="1:27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7.55" spans="1:2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7.55" spans="1:27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7.55" spans="1:27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7.55" spans="1:27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7.55" spans="1:27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7.55" spans="1:27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7.55" spans="1:27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7.55" spans="1:27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7.55" spans="1:27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7.55" spans="1:27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7.55" spans="1:2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7.55" spans="1:27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7.55" spans="1:27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7.55" spans="1:27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7.55" spans="1:27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7.55" spans="1:27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7.55" spans="1:27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7.55" spans="1:27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7.55" spans="1:27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7.55" spans="1:27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7.55" spans="1:2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7.55" spans="1:27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7.55" spans="1:27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7.55" spans="1:27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7.55" spans="1:27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7.55" spans="1:27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7.55" spans="1:27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7.55" spans="1:27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7.55" spans="1:27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7.55" spans="1:27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7.55" spans="1:2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7.55" spans="1:27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7.55" spans="1:27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7.55" spans="1:27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7.55" spans="1:27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7.55" spans="1:27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7.55" spans="1:27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7.55" spans="1:27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7.55" spans="1:27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7.55" spans="1:27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7.55" spans="1:2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7.55" spans="1:27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7.55" spans="1:27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7.55" spans="1:27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7.55" spans="1:27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7.55" spans="1:27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7.55" spans="1:27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7.55" spans="1:27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7.55" spans="1:27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7.55" spans="1:27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7.55" spans="1:2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7.55" spans="1:27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7.55" spans="1:27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7.55" spans="1:27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7.55" spans="1:27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7.55" spans="1:27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7.55" spans="1:27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7.55" spans="1:27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7.55" spans="1:27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7.55" spans="1:27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7.55" spans="1:2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7.55" spans="1:27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7.55" spans="1:27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7.55" spans="1:27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7.55" spans="1:27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7.55" spans="1:27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7.55" spans="1:27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7.55" spans="1:27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7.55" spans="1:27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7.55" spans="1:27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7.55" spans="1:2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7.55" spans="1:27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7.55" spans="1:27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7.55" spans="1:27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7.55" spans="1:27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7.55" spans="1:27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7.55" spans="1:27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7.55" spans="1:27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7.55" spans="1:27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7.55" spans="1:27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7.55" spans="1:2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7.55" spans="1:27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7.55" spans="1:27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7.55" spans="1:27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7.55" spans="1:27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7.55" spans="1:27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7.55" spans="1:27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7.55" spans="1:27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7.55" spans="1:27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7.55" spans="1:27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7.55" spans="1: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7.55" spans="1:27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7.55" spans="1:27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7.55" spans="1:27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7.55" spans="1:27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7.55" spans="1:27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7.55" spans="1:27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7.55" spans="1:27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7.55" spans="1:27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7.55" spans="1:27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7.55" spans="1:2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7.55" spans="1:27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7.55" spans="1:27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7.55" spans="1:27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7.55" spans="1:27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7.55" spans="1:27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7.55" spans="1:27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7.55" spans="1:27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7.55" spans="1:27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7.55" spans="1:27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7.55" spans="1:2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7.55" spans="1:27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7.55" spans="1:27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7.55" spans="1:27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7.55" spans="1:27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7.55" spans="1:27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7.55" spans="1:27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7.55" spans="1:27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7.55" spans="1:27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7.55" spans="1:27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7.55" spans="1:2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7.55" spans="1:27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7.55" spans="1:27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7.55" spans="1:27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7.55" spans="1:27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7.55" spans="1:27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7.55" spans="1:27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7.55" spans="1:27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7.55" spans="1:27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7.55" spans="1:27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7.55" spans="1:2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7.55" spans="1:27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7.55" spans="1:27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7.55" spans="1:27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7.55" spans="1:27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7.55" spans="1:27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7.55" spans="1:27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7.55" spans="1:27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7.55" spans="1:27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7.55" spans="1:27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7.55" spans="1:2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7.55" spans="1:27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7.55" spans="1:27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7.55" spans="1:27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7.55" spans="1:27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7.55" spans="1:27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7.55" spans="1:27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7.55" spans="1:27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7.55" spans="1:27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7.55" spans="1:27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7.55" spans="1:2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7.55" spans="1:27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7.55" spans="1:27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7.55" spans="1:27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7.55" spans="1:27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7.55" spans="1:27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7.55" spans="1:27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7.55" spans="1:27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7.55" spans="1:27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7.55" spans="1:27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7.55" spans="1:2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7.55" spans="1:27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7.55" spans="1:27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7.55" spans="1:27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7.55" spans="1:27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7.55" spans="1:27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7.55" spans="1:27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7.55" spans="1:27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7.55" spans="1:27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7.55" spans="1:27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7.55" spans="1:2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7.55" spans="1:27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7.55" spans="1:27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7.55" spans="1:27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7.55" spans="1:27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7.55" spans="1:27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7.55" spans="1:27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7.55" spans="1:27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7.55" spans="1:27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7.55" spans="1:27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7.55" spans="1:2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7.55" spans="1:27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7.55" spans="1:27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7.55" spans="1:27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7.55" spans="1:27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7.55" spans="1:27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7.55" spans="1:27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7.55" spans="1:27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7.55" spans="1:27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7.55" spans="1:27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7.55" spans="1: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7.55" spans="1:27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7.55" spans="1:27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7.55" spans="1:27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7.55" spans="1:27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7.55" spans="1:27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7.55" spans="1:27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7.55" spans="1:27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7.55" spans="1:27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7.55" spans="1:27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7.55" spans="1:2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7.55" spans="1:27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7.55" spans="1:27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7.55" spans="1:27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7.55" spans="1:27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7.55" spans="1:27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7.55" spans="1:27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7.55" spans="1:27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7.55" spans="1:27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7.55" spans="1:27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7.55" spans="1:2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7.55" spans="1:27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7.55" spans="1:27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7.55" spans="1:27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7.55" spans="1:27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7.55" spans="1:27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7.55" spans="1:27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ht="17.55" spans="1:27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ht="17.55" spans="1:27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ht="17.55" spans="1:27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ht="17.55" spans="1:2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ht="17.55" spans="1:27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ht="17.55" spans="1:27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ht="17.55" spans="1:27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ht="17.55" spans="1:27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ht="17.55" spans="1:27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ht="17.55" spans="1:27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ht="17.55" spans="1:27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ht="17.55" spans="1:27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ht="17.55" spans="1:27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ht="17.55" spans="1:2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ht="17.55" spans="1:27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ht="17.55" spans="1:27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ht="17.55" spans="1:27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ht="17.55" spans="1:27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ht="17.55" spans="1:27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ht="17.55" spans="1:27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ht="17.55" spans="1:27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ht="17.55" spans="1:27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ht="17.55" spans="1:27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ht="17.55" spans="1:2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ht="17.55" spans="1:27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ht="17.55" spans="1:27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ht="17.55" spans="1:27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ht="17.55" spans="1:27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ht="17.55" spans="1:27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ht="17.55" spans="1:27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ht="17.55" spans="1:27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ht="17.55" spans="1:27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ht="17.55" spans="1:27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ht="17.55" spans="1:2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ht="17.55" spans="1:27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ht="17.55" spans="1:27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ht="17.55" spans="1:27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ht="17.55" spans="1:27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ht="17.55" spans="1:27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ht="17.55" spans="1:27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ht="17.55" spans="1:27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ht="17.55" spans="1:27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ht="17.55" spans="1:27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ht="17.55" spans="1:2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ht="17.55" spans="1:27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ht="17.55" spans="1:27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ht="17.55" spans="1:27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ht="17.55" spans="1:27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ht="17.55" spans="1:27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ht="17.55" spans="1:27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ht="17.55" spans="1:27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ht="17.55" spans="1:27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ht="17.55" spans="1:27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ht="17.55" spans="1:2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ht="17.55" spans="1:27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ht="17.55" spans="1:27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ht="17.55" spans="1:27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ht="17.55" spans="1:27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ht="17.55" spans="1:27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ht="17.55" spans="1:27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ht="17.55" spans="1:27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ht="17.55" spans="1:27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ht="17.55" spans="1:27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ht="17.55" spans="1:2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ht="17.55" spans="1:27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ht="17.55" spans="1:27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ht="17.55" spans="1:27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ht="17.55" spans="1:27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ht="17.55" spans="1:27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ht="17.55" spans="1:27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ht="17.55" spans="1:27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ht="17.55" spans="1:27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ht="17.55" spans="1:27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ht="17.55" spans="1: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ht="17.55" spans="1:27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ht="17.55" spans="1:27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ht="17.55" spans="1:27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ht="17.55" spans="1:27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ht="17.55" spans="1:27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ht="17.55" spans="1:27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ht="17.55" spans="1:27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ht="17.55" spans="1:27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ht="17.55" spans="1:27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ht="17.55" spans="1:2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ht="17.55" spans="1:27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ht="17.55" spans="1:27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ht="17.55" spans="1:27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ht="17.55" spans="1:27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ht="17.55" spans="1:27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ht="17.55" spans="1:27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ht="17.55" spans="1:27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ht="17.55" spans="1:27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ht="17.55" spans="1:27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ht="17.55" spans="1:2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ht="17.55" spans="1:27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ht="17.55" spans="1:27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ht="17.55" spans="1:27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ht="17.55" spans="1:27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ht="17.55" spans="1:27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ht="17.55" spans="1:27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ht="17.55" spans="1:27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ht="17.55" spans="1:27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ht="17.55" spans="1:27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ht="17.55" spans="1:2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ht="17.55" spans="1:27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ht="17.55" spans="1:27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ht="17.55" spans="1:27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ht="17.55" spans="1:27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ht="17.55" spans="1:27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ht="17.55" spans="1:27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ht="17.55" spans="1:27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ht="17.55" spans="1:27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ht="17.55" spans="1:27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ht="17.55" spans="1:2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ht="17.55" spans="1:27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ht="17.55" spans="1:27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ht="17.55" spans="1:27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ht="17.55" spans="1:27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ht="17.55" spans="1:27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ht="17.55" spans="1:27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ht="17.55" spans="1:27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ht="17.55" spans="1:27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ht="17.55" spans="1:27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ht="17.55" spans="1:2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ht="17.55" spans="1:27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ht="17.55" spans="1:27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ht="17.55" spans="1:27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ht="17.55" spans="1:27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ht="17.55" spans="1:27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ht="17.55" spans="1:27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ht="17.55" spans="1:27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ht="17.55" spans="1:27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ht="17.55" spans="1:27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ht="17.55" spans="1:2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ht="17.55" spans="1:27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ht="17.55" spans="1:27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ht="17.55" spans="1:27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ht="17.55" spans="1:27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ht="17.55" spans="1:27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ht="17.55" spans="1:27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ht="17.55" spans="1:27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ht="17.55" spans="1:27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ht="17.55" spans="1:27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ht="17.55" spans="1:2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ht="17.55" spans="1:27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ht="17.55" spans="1:27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ht="17.55" spans="1:27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ht="17.55" spans="1:27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ht="17.55" spans="1:27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ht="17.55" spans="1:27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ht="17.55" spans="1:27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ht="17.55" spans="1:27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ht="17.55" spans="1:27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ht="17.55" spans="1:2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ht="17.55" spans="1:27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ht="17.55" spans="1:27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ht="17.55" spans="1:27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ht="17.55" spans="1:27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ht="17.55" spans="1:27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ht="17.55" spans="1:27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ht="17.55" spans="1:27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ht="17.55" spans="1:27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ht="17.55" spans="1:27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ht="17.55" spans="1:2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ht="17.55" spans="1:27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ht="17.55" spans="1:27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ht="17.55" spans="1:27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ht="17.55" spans="1:27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ht="17.55" spans="1:27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ht="17.55" spans="1:27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ht="17.55" spans="1:27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ht="17.55" spans="1:27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ht="17.55" spans="1:27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ht="17.55" spans="1: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ht="17.55" spans="1:27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ht="17.55" spans="1:27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ht="17.55" spans="1:27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ht="17.55" spans="1:27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ht="17.55" spans="1:27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ht="17.55" spans="1:27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ht="17.55" spans="1:27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ht="17.55" spans="1:27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ht="17.55" spans="1:27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ht="17.55" spans="1:2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ht="17.55" spans="1:27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ht="17.55" spans="1:27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ht="17.55" spans="1:27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ht="17.55" spans="1:27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ht="17.55" spans="1:27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ht="17.55" spans="1:27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ht="17.55" spans="1:27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ht="17.55" spans="1:27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ht="17.55" spans="1:27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ht="17.55" spans="1:2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ht="17.55" spans="1:27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ht="17.55" spans="1:27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ht="17.55" spans="1:27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ht="17.55" spans="1:27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ht="17.55" spans="1:27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ht="17.55" spans="1:27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ht="17.55" spans="1:27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ht="17.55" spans="1:27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ht="17.55" spans="1:27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ht="17.55" spans="1:2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ht="17.55" spans="1:27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ht="17.55" spans="1:27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ht="17.55" spans="1:27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ht="17.55" spans="1:27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ht="17.55" spans="1:27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ht="17.55" spans="1:27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ht="17.55" spans="1:27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ht="17.55" spans="1:27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ht="17.55" spans="1:27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ht="17.55" spans="1:2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ht="17.55" spans="1:27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ht="17.55" spans="1:27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ht="17.55" spans="1:27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ht="17.55" spans="1:27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ht="17.55" spans="1:27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ht="17.55" spans="1:27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ht="17.55" spans="1:27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ht="17.55" spans="1:27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ht="17.55" spans="1:27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ht="17.55" spans="1:2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ht="17.55" spans="1:27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ht="17.55" spans="1:27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ht="17.55" spans="1:27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ht="17.55" spans="1:27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ht="17.55" spans="1:27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ht="17.55" spans="1:27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ht="17.55" spans="1:27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ht="17.55" spans="1:27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ht="17.55" spans="1:27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ht="17.55" spans="1:2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ht="17.55" spans="1:27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ht="17.55" spans="1:27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ht="17.55" spans="1:27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ht="17.55" spans="1:27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ht="17.55" spans="1:27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ht="17.55" spans="1:27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ht="17.55" spans="1:27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ht="17.55" spans="1:27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ht="17.55" spans="1:27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ht="17.55" spans="1:2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ht="17.55" spans="1:27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ht="17.55" spans="1:27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ht="17.55" spans="1:27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ht="17.55" spans="1:27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ht="17.55" spans="1:27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ht="17.55" spans="1:27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ht="17.55" spans="1:27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ht="17.55" spans="1:27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ht="17.55" spans="1:27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ht="17.55" spans="1:2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ht="17.55" spans="1:27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ht="17.55" spans="1:27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ht="17.55" spans="1:27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ht="17.55" spans="1:27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ht="17.55" spans="1:27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ht="17.55" spans="1:27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ht="17.55" spans="1:27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ht="17.55" spans="1:27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ht="17.55" spans="1:27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ht="17.55" spans="1:2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ht="17.55" spans="1:27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ht="17.55" spans="1:27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ht="17.55" spans="1:27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ht="17.55" spans="1:27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ht="17.55" spans="1:27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ht="17.55" spans="1:27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ht="17.55" spans="1:27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ht="17.55" spans="1:27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ht="17.55" spans="1:27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ht="17.55" spans="1: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ht="17.55" spans="1:27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ht="17.55" spans="1:27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ht="17.55" spans="1:27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ht="17.55" spans="1:27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ht="17.55" spans="1:27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ht="17.55" spans="1:27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ht="17.55" spans="1:27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ht="17.55" spans="1:27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ht="17.55" spans="1:27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ht="17.55" spans="1:2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ht="17.55" spans="1:27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ht="17.55" spans="1:27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ht="17.55" spans="1:27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ht="17.55" spans="1:27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ht="17.55" spans="1:27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ht="17.55" spans="1:27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ht="17.55" spans="1:27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ht="17.55" spans="1:27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ht="17.55" spans="1:27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ht="17.55" spans="1:2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ht="17.55" spans="1:27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ht="17.55" spans="1:27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ht="17.55" spans="1:27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ht="17.55" spans="1:27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ht="17.55" spans="1:27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ht="17.55" spans="1:27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ht="17.55" spans="1:27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ht="17.55" spans="1:27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ht="17.55" spans="1:27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ht="17.55" spans="1:2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ht="17.55" spans="1:27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ht="17.55" spans="1:27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ht="17.55" spans="1:27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ht="17.55" spans="1:27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ht="17.55" spans="1:27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ht="17.55" spans="1:27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ht="17.55" spans="1:27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ht="17.55" spans="1:27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ht="17.55" spans="1:27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ht="17.55" spans="1:2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ht="17.55" spans="1:27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ht="17.55" spans="1:27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ht="17.55" spans="1:27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ht="17.55" spans="1:27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ht="17.55" spans="1:27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ht="17.55" spans="1:27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ht="17.55" spans="1:27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ht="17.55" spans="1:27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ht="17.55" spans="1:27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ht="17.55" spans="1:2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ht="17.55" spans="1:27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ht="17.55" spans="1:27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ht="17.55" spans="1:27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ht="17.55" spans="1:27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ht="17.55" spans="1:27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ht="17.55" spans="1:27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ht="17.55" spans="1:27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ht="17.55" spans="1:27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ht="17.55" spans="1:27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ht="17.55" spans="1:2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ht="17.55" spans="1:27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ht="17.55" spans="1:27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ht="17.55" spans="1:27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ht="17.55" spans="1:27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ht="17.55" spans="1:27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ht="17.55" spans="1:27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ht="17.55" spans="1:27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ht="17.55" spans="1:27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ht="17.55" spans="1:27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ht="17.55" spans="1:2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ht="17.55" spans="1:27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ht="17.55" spans="1:27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ht="17.55" spans="1:27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ht="17.55" spans="1:27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ht="17.55" spans="1:27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ht="17.55" spans="1:27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ht="17.55" spans="1:27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ht="17.55" spans="1:27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ht="17.55" spans="1:27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ht="17.55" spans="1:2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ht="17.55" spans="1:27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ht="17.55" spans="1:27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ht="17.55" spans="1:27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ht="17.55" spans="1:27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ht="17.55" spans="1:27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ht="17.55" spans="1:27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ht="17.55" spans="1:27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ht="17.55" spans="1:27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ht="17.55" spans="1:27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ht="17.55" spans="1:2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ht="17.55" spans="1:27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ht="17.55" spans="1:27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ht="17.55" spans="1:27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ht="17.55" spans="1:27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ht="17.55" spans="1:27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ht="17.55" spans="1:27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ht="17.55" spans="1:27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ht="17.55" spans="1:27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ht="17.55" spans="1:27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ht="17.55" spans="1: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ht="17.55" spans="1:27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ht="17.55" spans="1:27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ht="17.55" spans="1:27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ht="17.55" spans="1:27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ht="17.55" spans="1:27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ht="17.55" spans="1:27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ht="17.55" spans="1:27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ht="17.55" spans="1:27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ht="17.55" spans="1:27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ht="17.55" spans="1:2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ht="17.55" spans="1:27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ht="17.55" spans="1:27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ht="17.55" spans="1:27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ht="17.55" spans="1:27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ht="17.55" spans="1:27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ht="17.55" spans="1:27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ht="17.55" spans="1:27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ht="17.55" spans="1:27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ht="17.55" spans="1:27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ht="17.55" spans="1:2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ht="17.55" spans="1:27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ht="17.55" spans="1:27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ht="17.55" spans="1:27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ht="17.55" spans="1:27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ht="17.55" spans="1:27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ht="17.55" spans="1:27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ht="17.55" spans="1:27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ht="17.55" spans="1:27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ht="17.55" spans="1:27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ht="17.55" spans="1:2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ht="17.55" spans="1:27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ht="17.55" spans="1:27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ht="17.55" spans="1:27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ht="17.55" spans="1:27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ht="17.55" spans="1:27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ht="17.55" spans="1:27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ht="17.55" spans="1:27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ht="17.55" spans="1:27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ht="17.55" spans="1:27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ht="17.55" spans="1:2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ht="17.55" spans="1:27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ht="17.55" spans="1:27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ht="17.55" spans="1:27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ht="17.55" spans="1:27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ht="17.55" spans="1:27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ht="17.55" spans="1:27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ht="17.55" spans="1:27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ht="17.55" spans="1:27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ht="17.55" spans="1:27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ht="17.55" spans="1:2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ht="17.55" spans="1:27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ht="17.55" spans="1:27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ht="17.55" spans="1:27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ht="17.55" spans="1:27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ht="17.55" spans="1:27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ht="17.55" spans="1:27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ht="17.55" spans="1:27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ht="17.55" spans="1:27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ht="17.55" spans="1:27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ht="17.55" spans="1:2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ht="17.55" spans="1:27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ht="17.55" spans="1:27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ht="17.55" spans="1:27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ht="17.55" spans="1:27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ht="17.55" spans="1:27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ht="17.55" spans="1:27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ht="17.55" spans="1:27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ht="17.55" spans="1:27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ht="17.55" spans="1:27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ht="17.55" spans="1:2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ht="17.55" spans="1:27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ht="17.55" spans="1:27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ht="17.55" spans="1:27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ht="17.55" spans="1:27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ht="17.55" spans="1:27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ht="17.55" spans="1:27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ht="17.55" spans="1:27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ht="17.55" spans="1:27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ht="17.55" spans="1:27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ht="17.55" spans="1:2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ht="17.55" spans="1:27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ht="17.55" spans="1:27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ht="17.55" spans="1:27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ht="17.55" spans="1:27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ht="17.55" spans="1:27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ht="17.55" spans="1:27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ht="17.55" spans="1:27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ht="17.55" spans="1:27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ht="17.55" spans="1:27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ht="17.55" spans="1:2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ht="17.55" spans="1:27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ht="17.55" spans="1:27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ht="17.55" spans="1:27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ht="17.55" spans="1:27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ht="17.55" spans="1:27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ht="17.55" spans="1:27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ht="17.55" spans="1:27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ht="17.55" spans="1:27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ht="17.55" spans="1:27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ht="17.55" spans="1: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ht="17.55" spans="1:27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ht="17.55" spans="1:27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ht="17.55" spans="1:27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ht="17.55" spans="1:27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ht="17.55" spans="1:27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ht="17.55" spans="1:27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ht="17.55" spans="1:27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ht="17.55" spans="1:27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ht="17.55" spans="1:27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ht="17.55" spans="1:2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ht="17.55" spans="1:27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ht="17.55" spans="1:27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ht="17.55" spans="1:27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ht="17.55" spans="1:27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ht="17.55" spans="1:27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ht="17.55" spans="1:27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ht="17.55" spans="1:27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ht="17.55" spans="1:27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ht="17.55" spans="1:27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ht="17.55" spans="1:2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ht="17.55" spans="1:27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ht="17.55" spans="1:27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ht="17.55" spans="1:27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ht="17.55" spans="1:27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ht="17.55" spans="1:27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ht="17.55" spans="1:27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ht="17.55" spans="1:27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ht="17.55" spans="1:27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ht="17.55" spans="1:27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ht="17.55" spans="1:2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ht="17.55" spans="1:27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ht="17.55" spans="1:27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ht="17.55" spans="1:27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ht="17.55" spans="1:27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ht="17.55" spans="1:27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ht="17.55" spans="1:27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ht="17.55" spans="1:27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ht="17.55" spans="1:27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ht="17.55" spans="1:27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ht="17.55" spans="1:2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ht="17.55" spans="1:27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ht="17.55" spans="1:27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ht="17.55" spans="1:27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ht="17.55" spans="1:27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ht="17.55" spans="1:27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ht="17.55" spans="1:27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ht="17.55" spans="1:27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ht="17.55" spans="1:27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ht="17.55" spans="1:27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ht="17.55" spans="1:2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ht="17.55" spans="1:27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ht="17.55" spans="1:27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ht="17.55" spans="1:27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ht="17.55" spans="1:27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ht="17.55" spans="1:27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ht="17.55" spans="1:27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ht="17.55" spans="1:27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ht="17.55" spans="1:27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ht="17.55" spans="1:27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ht="17.55" spans="1:2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ht="17.55" spans="1:27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ht="17.55" spans="1:27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ht="17.55" spans="1:27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ht="17.55" spans="1:27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ht="17.55" spans="1:27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ht="17.55" spans="1:27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ht="17.55" spans="1:27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ht="17.55" spans="1:27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ht="17.55" spans="1:27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ht="17.55" spans="1:2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ht="17.55" spans="1:27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ht="17.55" spans="1:27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ht="17.55" spans="1:27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ht="17.55" spans="1:27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ht="17.55" spans="1:27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ht="17.55" spans="1:27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ht="17.55" spans="1:27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ht="17.55" spans="1:27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ht="17.55" spans="1:27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ht="17.55" spans="1:2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ht="17.55" spans="1:27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ht="17.55" spans="1:27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ht="17.55" spans="1:27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ht="17.55" spans="1:27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ht="17.55" spans="1:27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ht="17.55" spans="1:27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ht="17.55" spans="1:27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ht="17.55" spans="1:27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ht="17.55" spans="1:27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ht="17.55" spans="1:2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ht="17.55" spans="1:27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ht="17.55" spans="1:27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ht="17.55" spans="1:27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ht="17.55" spans="1:27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ht="17.55" spans="1:27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ht="17.55" spans="1:27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ht="17.55" spans="1:27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ht="17.55" spans="1:27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ht="17.55" spans="1:27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ht="17.55" spans="1: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ht="17.55" spans="1:27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ht="17.55" spans="1:27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ht="17.55" spans="1:27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ht="17.55" spans="1:27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ht="17.55" spans="1:27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ht="17.55" spans="1:27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ht="17.55" spans="1:27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ht="17.55" spans="1:27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ht="17.55" spans="1:27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ht="17.55" spans="1:2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ht="17.55" spans="1:27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ht="17.55" spans="1:27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ht="17.55" spans="1:27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ht="17.55" spans="1:27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ht="17.55" spans="1:27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ht="17.55" spans="1:27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ht="17.55" spans="1:27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ht="17.55" spans="1:27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ht="17.55" spans="1:27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ht="17.55" spans="1:2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ht="17.55" spans="1:27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ht="17.55" spans="1:27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ht="17.55" spans="1:27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ht="17.55" spans="1:27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ht="17.55" spans="1:27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ht="17.55" spans="1:27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ht="17.55" spans="1:27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ht="17.55" spans="1:27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ht="17.55" spans="1:27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ht="17.55" spans="1:2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ht="17.55" spans="1:27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ht="17.55" spans="1:27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ht="17.55" spans="1:27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ht="17.55" spans="1:27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ht="17.55" spans="1:27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ht="17.55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ht="17.55" spans="1:27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ht="17.55" spans="1:27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ht="17.55" spans="1:27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ht="17.55" spans="1:2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ht="17.55" spans="1:27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ht="17.55" spans="1:27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ht="17.55" spans="1:27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ht="17.55" spans="1:27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ht="17.55" spans="1:27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ht="17.55" spans="1:27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ht="17.55" spans="1:27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ht="17.55" spans="1:27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ht="17.55" spans="1:27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ht="17.55" spans="1:2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ht="17.55" spans="1:27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ht="17.55" spans="1:27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ht="17.55" spans="1:27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ht="17.55" spans="1:27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ht="17.55" spans="1:27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ht="17.55" spans="1:27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ht="17.55" spans="1:27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ht="17.55" spans="1:27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ht="17.55" spans="1:27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ht="17.55" spans="1:2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ht="17.55" spans="1:27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ht="17.55" spans="1:27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ht="17.55" spans="1:27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ht="17.55" spans="1:27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ht="17.55" spans="1:27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ht="17.55" spans="1:27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ht="17.55" spans="1:27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ht="17.55" spans="1:27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ht="17.55" spans="1:27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ht="17.55" spans="1:2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ht="17.55" spans="1:27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ht="17.55" spans="1:27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ht="17.55" spans="1:27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ht="17.55" spans="1:27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ht="17.55" spans="1:27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Load Torque</vt:lpstr>
      <vt:lpstr>Axial Force sign matrix</vt:lpstr>
      <vt:lpstr>Speed calc</vt:lpstr>
      <vt:lpstr>Acceleration Torque</vt:lpstr>
      <vt:lpstr>Total Torque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Deepak Murugan</cp:lastModifiedBy>
  <dcterms:created xsi:type="dcterms:W3CDTF">2015-06-05T20:17:00Z</dcterms:created>
  <dcterms:modified xsi:type="dcterms:W3CDTF">2026-05-18T03:54:14Z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7E3F63CC2867C0D4C4680A6A2A4978A5_42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0</vt:i4>
  </property>
</Properties>
</file>